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2\new\"/>
    </mc:Choice>
  </mc:AlternateContent>
  <xr:revisionPtr revIDLastSave="0" documentId="13_ncr:1_{C3D1DA9E-764E-4962-ADCB-4C7CFEAAEDD1}" xr6:coauthVersionLast="47" xr6:coauthVersionMax="47" xr10:uidLastSave="{00000000-0000-0000-0000-000000000000}"/>
  <bookViews>
    <workbookView xWindow="-110" yWindow="-110" windowWidth="19420" windowHeight="11500" firstSheet="1" activeTab="7" xr2:uid="{00000000-000D-0000-FFFF-FFFF00000000}"/>
  </bookViews>
  <sheets>
    <sheet name="Kelas X-1" sheetId="2" r:id="rId1"/>
    <sheet name="Keas X-2" sheetId="1" r:id="rId2"/>
    <sheet name="Kelas X-3" sheetId="3" r:id="rId3"/>
    <sheet name="Kelas X-4" sheetId="4" r:id="rId4"/>
    <sheet name="Kelas X-5" sheetId="5" r:id="rId5"/>
    <sheet name="Kelas X-6" sheetId="6" r:id="rId6"/>
    <sheet name="Kelas X-7" sheetId="7" r:id="rId7"/>
    <sheet name="Kelas X-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7" l="1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43" i="3" l="1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8" i="1"/>
</calcChain>
</file>

<file path=xl/sharedStrings.xml><?xml version="1.0" encoding="utf-8"?>
<sst xmlns="http://schemas.openxmlformats.org/spreadsheetml/2006/main" count="1800" uniqueCount="636">
  <si>
    <t>LEGER NILAI RAPOR SISWA TAHUN PELAJARAN 2024/2025 GENAP</t>
  </si>
  <si>
    <t>SEKOLAH</t>
  </si>
  <si>
    <t>:  SMAN 1 UTAN</t>
  </si>
  <si>
    <t>Kelas</t>
  </si>
  <si>
    <t>:  X-2</t>
  </si>
  <si>
    <t>NO</t>
  </si>
  <si>
    <t>NAMA SISWA</t>
  </si>
  <si>
    <t>NISN</t>
  </si>
  <si>
    <t>NIS</t>
  </si>
  <si>
    <t>MATA PELAJARAN</t>
  </si>
  <si>
    <t>Ketidakhadiran</t>
  </si>
  <si>
    <t>Ekstra Kurikuler</t>
  </si>
  <si>
    <t>PAI-BP</t>
  </si>
  <si>
    <t>PAH-BP</t>
  </si>
  <si>
    <t>PP</t>
  </si>
  <si>
    <t>B. Indo</t>
  </si>
  <si>
    <t>B. Ingg</t>
  </si>
  <si>
    <t>Mtk Umum</t>
  </si>
  <si>
    <t>PJOK</t>
  </si>
  <si>
    <t>PKWu</t>
  </si>
  <si>
    <t>TIK</t>
  </si>
  <si>
    <t>IPA</t>
  </si>
  <si>
    <t>IPS</t>
  </si>
  <si>
    <t>PRAMUKA</t>
  </si>
  <si>
    <t>Debat Bahasa Indonesia</t>
  </si>
  <si>
    <t>ROHIS</t>
  </si>
  <si>
    <t>Bola Volly</t>
  </si>
  <si>
    <t>OSN Komputer</t>
  </si>
  <si>
    <t>OSN Matematika</t>
  </si>
  <si>
    <t>Sakit</t>
  </si>
  <si>
    <t>Izin</t>
  </si>
  <si>
    <t>Alpa</t>
  </si>
  <si>
    <t>Abdul Hafis</t>
  </si>
  <si>
    <t>3086446949</t>
  </si>
  <si>
    <t>ALDA DWI FATMALA</t>
  </si>
  <si>
    <t>0091697178</t>
  </si>
  <si>
    <t>ALDI FAJRI</t>
  </si>
  <si>
    <t>0095901820</t>
  </si>
  <si>
    <t>ALDINAS BAYU DEWANTARA</t>
  </si>
  <si>
    <t>0097189934</t>
  </si>
  <si>
    <t>Annisa Dzakiyah Fatinah</t>
  </si>
  <si>
    <t>0093912045</t>
  </si>
  <si>
    <t>ARWANSYAH BANI</t>
  </si>
  <si>
    <t>0084771275</t>
  </si>
  <si>
    <t>Chelsi Aprilia</t>
  </si>
  <si>
    <t>0094636162</t>
  </si>
  <si>
    <t>DEDE ARIANTO</t>
  </si>
  <si>
    <t>0095781923</t>
  </si>
  <si>
    <t>DINA LESTARI</t>
  </si>
  <si>
    <t>0074180973</t>
  </si>
  <si>
    <t>DWI APRILIA NINGSIH</t>
  </si>
  <si>
    <t>0093502290</t>
  </si>
  <si>
    <t>FAHRI AKBAR</t>
  </si>
  <si>
    <t>0083631862</t>
  </si>
  <si>
    <t>FAUZI ISBATUL YAQIN</t>
  </si>
  <si>
    <t>0091775322</t>
  </si>
  <si>
    <t>Febby Melati Agustiani</t>
  </si>
  <si>
    <t>0091191494</t>
  </si>
  <si>
    <t>Gita Ade Mengas</t>
  </si>
  <si>
    <t>0083110575</t>
  </si>
  <si>
    <t>SB</t>
  </si>
  <si>
    <t>HERI FAHRI EFENDI</t>
  </si>
  <si>
    <t>0094548210</t>
  </si>
  <si>
    <t>I GEDE RISKI ADITYA PUTRA</t>
  </si>
  <si>
    <t>0077658072</t>
  </si>
  <si>
    <t>Jovanny Andira Putra</t>
  </si>
  <si>
    <t>0092819998</t>
  </si>
  <si>
    <t>LAKSAMANA WIRANDI</t>
  </si>
  <si>
    <t>0093243087</t>
  </si>
  <si>
    <t>LOVY NITA</t>
  </si>
  <si>
    <t>0097170782</t>
  </si>
  <si>
    <t>B</t>
  </si>
  <si>
    <t>Made Sugiarta</t>
  </si>
  <si>
    <t>0092902060</t>
  </si>
  <si>
    <t>MAYSA SAFITRI</t>
  </si>
  <si>
    <t>0093368848</t>
  </si>
  <si>
    <t>MUHAMMAD FAUZI</t>
  </si>
  <si>
    <t>0087436477</t>
  </si>
  <si>
    <t>NABILA FIHRANANISA</t>
  </si>
  <si>
    <t>0093805893</t>
  </si>
  <si>
    <t>NENTA SESTI ARTALITA</t>
  </si>
  <si>
    <t>0093356848</t>
  </si>
  <si>
    <t>NI KADEK ARISKA PRINGGANDANI</t>
  </si>
  <si>
    <t>0099807460</t>
  </si>
  <si>
    <t>Nur Hafifah</t>
  </si>
  <si>
    <t>0096395771</t>
  </si>
  <si>
    <t>PERIADI</t>
  </si>
  <si>
    <t>0057453226</t>
  </si>
  <si>
    <t>Ramli Ardiansyah</t>
  </si>
  <si>
    <t>0095762516</t>
  </si>
  <si>
    <t>RASSYA HIKMAH RITMAWARDA</t>
  </si>
  <si>
    <t>0095078697</t>
  </si>
  <si>
    <t>RIZKA ANGGRAINI</t>
  </si>
  <si>
    <t>0094410023</t>
  </si>
  <si>
    <t>RIZQI GHAU AFANDI</t>
  </si>
  <si>
    <t>0084472154</t>
  </si>
  <si>
    <t>SALSA MASMIATI</t>
  </si>
  <si>
    <t>0082148034</t>
  </si>
  <si>
    <t>SISKA HARIYANTI</t>
  </si>
  <si>
    <t>0093428391</t>
  </si>
  <si>
    <t>Surya Pratama Atmaja</t>
  </si>
  <si>
    <t>0088694546</t>
  </si>
  <si>
    <t>TEMI RIAWAN</t>
  </si>
  <si>
    <t>0092992946</t>
  </si>
  <si>
    <t>Vega Junita Mangi</t>
  </si>
  <si>
    <t>0095570942</t>
  </si>
  <si>
    <t>Rata-Rata</t>
  </si>
  <si>
    <t>:  X-3</t>
  </si>
  <si>
    <t>Paduan Suara</t>
  </si>
  <si>
    <t>Kreasi dan Seni / FLS2N</t>
  </si>
  <si>
    <t>ABDUL RAHMAN</t>
  </si>
  <si>
    <t>0086291152</t>
  </si>
  <si>
    <t>AGUS SASTRIAWAN</t>
  </si>
  <si>
    <t>0089434393</t>
  </si>
  <si>
    <t>ALFAN SAPUTRA</t>
  </si>
  <si>
    <t>0086040787</t>
  </si>
  <si>
    <t>ALIA</t>
  </si>
  <si>
    <t>0091740993</t>
  </si>
  <si>
    <t>ARYA PRATAMA</t>
  </si>
  <si>
    <t>0092389741</t>
  </si>
  <si>
    <t>CHELSI JULI OLIVIA</t>
  </si>
  <si>
    <t>3098893492</t>
  </si>
  <si>
    <t>Didit Oktanata</t>
  </si>
  <si>
    <t>0089063707</t>
  </si>
  <si>
    <t>DINA MARDIANA</t>
  </si>
  <si>
    <t>0098446068</t>
  </si>
  <si>
    <t>Dwi Kurnia Afriani</t>
  </si>
  <si>
    <t>0095917589</t>
  </si>
  <si>
    <t>FAHRI RAMDANI</t>
  </si>
  <si>
    <t>0083913907</t>
  </si>
  <si>
    <t>Fendy Ilham</t>
  </si>
  <si>
    <t>0098250522</t>
  </si>
  <si>
    <t>FIRDA HERAWATI</t>
  </si>
  <si>
    <t>0078497469</t>
  </si>
  <si>
    <t>Gealova Cahya Qonita</t>
  </si>
  <si>
    <t>0095433564</t>
  </si>
  <si>
    <t>I PUTU REZA YUDHISTIRA</t>
  </si>
  <si>
    <t>0094357998</t>
  </si>
  <si>
    <t>JUINDA IRFIANI</t>
  </si>
  <si>
    <t>0092663072</t>
  </si>
  <si>
    <t>JULIAN ADE SAPUTRA</t>
  </si>
  <si>
    <t>0098854211</t>
  </si>
  <si>
    <t>Lussy</t>
  </si>
  <si>
    <t>0084625589</t>
  </si>
  <si>
    <t>M GAIRIL SULISTIYO</t>
  </si>
  <si>
    <t>0091806998</t>
  </si>
  <si>
    <t>M.FIRMAN SETIAWAN</t>
  </si>
  <si>
    <t>0099575379</t>
  </si>
  <si>
    <t>MEILA INDRIANI</t>
  </si>
  <si>
    <t>0092773495</t>
  </si>
  <si>
    <t>MOUAMMAR KHADAFI AL AHMAD</t>
  </si>
  <si>
    <t>0077759537</t>
  </si>
  <si>
    <t>Nada Egita</t>
  </si>
  <si>
    <t>0097937788</t>
  </si>
  <si>
    <t>NI KETUT PUSPITA</t>
  </si>
  <si>
    <t>0076671804</t>
  </si>
  <si>
    <t>NURIL MELANI</t>
  </si>
  <si>
    <t>0093991471</t>
  </si>
  <si>
    <t>PUJA ANUGRAH</t>
  </si>
  <si>
    <t>0097504418</t>
  </si>
  <si>
    <t>RAMZI</t>
  </si>
  <si>
    <t>0088890077</t>
  </si>
  <si>
    <t>RASTI</t>
  </si>
  <si>
    <t>0099759776</t>
  </si>
  <si>
    <t>Riski Aprilian Putri</t>
  </si>
  <si>
    <t>0099955883</t>
  </si>
  <si>
    <t>ROSDIANA</t>
  </si>
  <si>
    <t>0093143803</t>
  </si>
  <si>
    <t>Safaruddin</t>
  </si>
  <si>
    <t>0082769031</t>
  </si>
  <si>
    <t>SARAH AZHARI</t>
  </si>
  <si>
    <t>0089120917</t>
  </si>
  <si>
    <t>Sheila Yasmin Syarif</t>
  </si>
  <si>
    <t>0095620334</t>
  </si>
  <si>
    <t>Siti Halimah</t>
  </si>
  <si>
    <t>0087149920</t>
  </si>
  <si>
    <t>TOMY ERLANGGA</t>
  </si>
  <si>
    <t>0086910228</t>
  </si>
  <si>
    <t>VEGA PUTRI UTAMI</t>
  </si>
  <si>
    <t>0088104088</t>
  </si>
  <si>
    <t>ZAINUL RIFANDI</t>
  </si>
  <si>
    <t>0092220210</t>
  </si>
  <si>
    <t>0098202850</t>
  </si>
  <si>
    <t>ZAKLY ABYAN FADHIL</t>
  </si>
  <si>
    <t>0091166753</t>
  </si>
  <si>
    <t>Yuni Ranata Putri</t>
  </si>
  <si>
    <t>0098215350</t>
  </si>
  <si>
    <t>WAHYU SAMUDRA</t>
  </si>
  <si>
    <t>0099867382</t>
  </si>
  <si>
    <t>Thoriq Athallah S</t>
  </si>
  <si>
    <t>0094201362</t>
  </si>
  <si>
    <t>Suci Murni</t>
  </si>
  <si>
    <t>0095599344</t>
  </si>
  <si>
    <t>SAUFAYARA</t>
  </si>
  <si>
    <t>0095757814</t>
  </si>
  <si>
    <t>SAFWATULLAH</t>
  </si>
  <si>
    <t>0096966532</t>
  </si>
  <si>
    <t>SAFA ADEKANTARI</t>
  </si>
  <si>
    <t>0089178900</t>
  </si>
  <si>
    <t>REVANIA AGUSTINA</t>
  </si>
  <si>
    <t>0094955231</t>
  </si>
  <si>
    <t>Rendra Saputra</t>
  </si>
  <si>
    <t>0088913568</t>
  </si>
  <si>
    <t>Putro Zabuka</t>
  </si>
  <si>
    <t>0089590322</t>
  </si>
  <si>
    <t>Nina Seftyandini</t>
  </si>
  <si>
    <t>0089041464</t>
  </si>
  <si>
    <t>NIDHA DHES KOMALAYANTI</t>
  </si>
  <si>
    <t>0093454178</t>
  </si>
  <si>
    <t>NADIATUL SADIAH</t>
  </si>
  <si>
    <t>0094187997</t>
  </si>
  <si>
    <t>MUHAMMAD NUR ALFANSYURI</t>
  </si>
  <si>
    <t>0097262945</t>
  </si>
  <si>
    <t>MUH HATAP MADANI</t>
  </si>
  <si>
    <t>0092973055</t>
  </si>
  <si>
    <t>MELATI DEWI LESTARI</t>
  </si>
  <si>
    <t>0091236607</t>
  </si>
  <si>
    <t>MARIANG</t>
  </si>
  <si>
    <t>0097424460</t>
  </si>
  <si>
    <t>M. Sapar Pebriansyah</t>
  </si>
  <si>
    <t>0098159236</t>
  </si>
  <si>
    <t>KHUZA ALLIZANI</t>
  </si>
  <si>
    <t>0085337338</t>
  </si>
  <si>
    <t>JULIAN AKBAR</t>
  </si>
  <si>
    <t>0093531426</t>
  </si>
  <si>
    <t>I PUTU SUTEJA MARA PUTRA</t>
  </si>
  <si>
    <t>0095629676</t>
  </si>
  <si>
    <t>Gita Madona</t>
  </si>
  <si>
    <t>0097860439</t>
  </si>
  <si>
    <t>Fitra Ramdani</t>
  </si>
  <si>
    <t>0097634630</t>
  </si>
  <si>
    <t>FIRNA AFRELLA</t>
  </si>
  <si>
    <t>0081243316</t>
  </si>
  <si>
    <t>Fahrizal Firdaus</t>
  </si>
  <si>
    <t>0099264014</t>
  </si>
  <si>
    <t>EKA CAHYANTI</t>
  </si>
  <si>
    <t>0095791866</t>
  </si>
  <si>
    <t>Dinda Auliya Safitri</t>
  </si>
  <si>
    <t>0085440846</t>
  </si>
  <si>
    <t>Dimas Adrian</t>
  </si>
  <si>
    <t>0085436597</t>
  </si>
  <si>
    <t>DAHLIA</t>
  </si>
  <si>
    <t>0097954344</t>
  </si>
  <si>
    <t>AULIA</t>
  </si>
  <si>
    <t>0091469097</t>
  </si>
  <si>
    <t>ARYA DWI MAULANA</t>
  </si>
  <si>
    <t>0091114487</t>
  </si>
  <si>
    <t>Andini Putri Santari</t>
  </si>
  <si>
    <t>0095154311</t>
  </si>
  <si>
    <t>Alif Aprilian Saputra</t>
  </si>
  <si>
    <t>0087296346</t>
  </si>
  <si>
    <t>AHMAD FAREL</t>
  </si>
  <si>
    <t>0097254868</t>
  </si>
  <si>
    <t>ABI PRATAMA</t>
  </si>
  <si>
    <t>:  X-4</t>
  </si>
  <si>
    <t>:  X-5</t>
  </si>
  <si>
    <t>Pena SMAUT</t>
  </si>
  <si>
    <t>PIK-RR</t>
  </si>
  <si>
    <t>Ahmad Harun</t>
  </si>
  <si>
    <t>0075343908</t>
  </si>
  <si>
    <t>ANDIKA SAPUTRA</t>
  </si>
  <si>
    <t>0088669558</t>
  </si>
  <si>
    <t>ANIS MUBAYANA</t>
  </si>
  <si>
    <t>0092341916</t>
  </si>
  <si>
    <t>BAGAS SAPUTRA</t>
  </si>
  <si>
    <t>0092193386</t>
  </si>
  <si>
    <t>DARA CANTIKA</t>
  </si>
  <si>
    <t>0092491541</t>
  </si>
  <si>
    <t>Dimas Marsidi</t>
  </si>
  <si>
    <t>0093074456</t>
  </si>
  <si>
    <t>DINDA MAILANI</t>
  </si>
  <si>
    <t>0093608268</t>
  </si>
  <si>
    <t>Elsa Kurnia</t>
  </si>
  <si>
    <t>0093617186</t>
  </si>
  <si>
    <t>Fahrurrozy</t>
  </si>
  <si>
    <t>0081343608</t>
  </si>
  <si>
    <t>FITRI</t>
  </si>
  <si>
    <t>0084764742</t>
  </si>
  <si>
    <t>Fizla Musfirah</t>
  </si>
  <si>
    <t>0092004676</t>
  </si>
  <si>
    <t>Gede Aditya Wirasuta</t>
  </si>
  <si>
    <t>0095636547</t>
  </si>
  <si>
    <t>Gita Sukma Ayu</t>
  </si>
  <si>
    <t>0095483080</t>
  </si>
  <si>
    <t>IBRAHIM</t>
  </si>
  <si>
    <t>0063599629</t>
  </si>
  <si>
    <t>Jusriyadi</t>
  </si>
  <si>
    <t>0081108144</t>
  </si>
  <si>
    <t>KIRANA SIPA SAKILA</t>
  </si>
  <si>
    <t>0093136828</t>
  </si>
  <si>
    <t>Lila Adila Ansafitria</t>
  </si>
  <si>
    <t>0087261749</t>
  </si>
  <si>
    <t>M. Akbal Pratama</t>
  </si>
  <si>
    <t>0094366979</t>
  </si>
  <si>
    <t>MARLIN</t>
  </si>
  <si>
    <t>0082987963</t>
  </si>
  <si>
    <t>MELI HANDAYANI</t>
  </si>
  <si>
    <t>0089434343</t>
  </si>
  <si>
    <t>MUHAMMAD AKBAR</t>
  </si>
  <si>
    <t>0097621637</t>
  </si>
  <si>
    <t>MUHAMMAD RIZALDI</t>
  </si>
  <si>
    <t>0092574668</t>
  </si>
  <si>
    <t>NANDA OKTAVIA</t>
  </si>
  <si>
    <t>0083053866</t>
  </si>
  <si>
    <t>NURUL HIDAYAH</t>
  </si>
  <si>
    <t>0091535162</t>
  </si>
  <si>
    <t>Nurul Hidayatullah</t>
  </si>
  <si>
    <t>0073737205</t>
  </si>
  <si>
    <t>Rendy Tri Apriliandi</t>
  </si>
  <si>
    <t>0081541985</t>
  </si>
  <si>
    <t>REZA MONIS KARLIZA</t>
  </si>
  <si>
    <t>0084815208</t>
  </si>
  <si>
    <t>RIZKI MAULANA IBRAHIM</t>
  </si>
  <si>
    <t>0093613838</t>
  </si>
  <si>
    <t>SAFWAN HENDRI PRATAMA</t>
  </si>
  <si>
    <t>0097037122</t>
  </si>
  <si>
    <t>SAHAR RAHMAN</t>
  </si>
  <si>
    <t>0082635573</t>
  </si>
  <si>
    <t>Selpiana</t>
  </si>
  <si>
    <t>0082523453</t>
  </si>
  <si>
    <t>Syaiwatul Aprilian</t>
  </si>
  <si>
    <t>0094810929</t>
  </si>
  <si>
    <t>Tribuana Maharani</t>
  </si>
  <si>
    <t>0093947328</t>
  </si>
  <si>
    <t>WILDA ISMAYANTI</t>
  </si>
  <si>
    <t>0096024562</t>
  </si>
  <si>
    <t>Yeni Meliya</t>
  </si>
  <si>
    <t>0096606444</t>
  </si>
  <si>
    <t>Yuda Andri Syafutra</t>
  </si>
  <si>
    <t>0096745960</t>
  </si>
  <si>
    <t>:  X-6</t>
  </si>
  <si>
    <t>ADE RAHMATULLAH</t>
  </si>
  <si>
    <t>3099516527</t>
  </si>
  <si>
    <t>AHMAD RIZAL</t>
  </si>
  <si>
    <t>0086965815</t>
  </si>
  <si>
    <t>Andre Saputra</t>
  </si>
  <si>
    <t>0093536890</t>
  </si>
  <si>
    <t>April</t>
  </si>
  <si>
    <t>0081667377</t>
  </si>
  <si>
    <t>ARINY NOVELIA</t>
  </si>
  <si>
    <t>0086448534</t>
  </si>
  <si>
    <t>Arsy Fathul Aini</t>
  </si>
  <si>
    <t>0087400767</t>
  </si>
  <si>
    <t>Bahriawan Saputra</t>
  </si>
  <si>
    <t>0085582986</t>
  </si>
  <si>
    <t>Darin Azramia</t>
  </si>
  <si>
    <t>0083089110</t>
  </si>
  <si>
    <t>DINDA TRI JUANITA LESTARI</t>
  </si>
  <si>
    <t>0095719675</t>
  </si>
  <si>
    <t>Dirga Irawan Ade Pratama</t>
  </si>
  <si>
    <t>0083481920</t>
  </si>
  <si>
    <t>Elsa Sulastri</t>
  </si>
  <si>
    <t>0096338294</t>
  </si>
  <si>
    <t>Faiz Firdaus</t>
  </si>
  <si>
    <t>0097923555</t>
  </si>
  <si>
    <t>Fitri Handayani</t>
  </si>
  <si>
    <t>0089055437</t>
  </si>
  <si>
    <t>GHAFA GENARYAN AKBAR</t>
  </si>
  <si>
    <t>0087631126</t>
  </si>
  <si>
    <t>GITA ADEKANTARI</t>
  </si>
  <si>
    <t>0086095807</t>
  </si>
  <si>
    <t>GUSTI ADE KAMULA</t>
  </si>
  <si>
    <t>0074522244</t>
  </si>
  <si>
    <t>Ilham Ramdani</t>
  </si>
  <si>
    <t>0094995226</t>
  </si>
  <si>
    <t>Kadek Eka Setiawan</t>
  </si>
  <si>
    <t>0072517070</t>
  </si>
  <si>
    <t>Komalasari</t>
  </si>
  <si>
    <t>0099742504</t>
  </si>
  <si>
    <t>M. LAELATUL QODRI</t>
  </si>
  <si>
    <t>0085554738</t>
  </si>
  <si>
    <t>Maryana</t>
  </si>
  <si>
    <t>0092447506</t>
  </si>
  <si>
    <t>Maryani</t>
  </si>
  <si>
    <t>0094262282</t>
  </si>
  <si>
    <t>Muhammad Ali</t>
  </si>
  <si>
    <t>0092782586</t>
  </si>
  <si>
    <t>MUHAMMAD RIZKI</t>
  </si>
  <si>
    <t>0094360736</t>
  </si>
  <si>
    <t>NATASYA FITRI</t>
  </si>
  <si>
    <t>0099402762</t>
  </si>
  <si>
    <t>NINING FEBRIANI</t>
  </si>
  <si>
    <t>0091409076</t>
  </si>
  <si>
    <t>OWETDA PETRI MARLITA</t>
  </si>
  <si>
    <t>0095852787</t>
  </si>
  <si>
    <t>RAFA ADILA PRATAMA</t>
  </si>
  <si>
    <t>0096610591</t>
  </si>
  <si>
    <t>Rengga Juliarta</t>
  </si>
  <si>
    <t>0081842639</t>
  </si>
  <si>
    <t>Rifka Annisa</t>
  </si>
  <si>
    <t>0098566540</t>
  </si>
  <si>
    <t>SAHMAWATI</t>
  </si>
  <si>
    <t>3061250399</t>
  </si>
  <si>
    <t>SANDI MUHAMMAD FIRDAUS</t>
  </si>
  <si>
    <t>0074236051</t>
  </si>
  <si>
    <t>TIKA PUTRI</t>
  </si>
  <si>
    <t>0096753914</t>
  </si>
  <si>
    <t>WIDIYAH NINGSIH</t>
  </si>
  <si>
    <t>0088003459</t>
  </si>
  <si>
    <t>Winda Maharani</t>
  </si>
  <si>
    <t>0093980843</t>
  </si>
  <si>
    <t>Yudi Saputra</t>
  </si>
  <si>
    <t>0091818279</t>
  </si>
  <si>
    <t>:  X-7</t>
  </si>
  <si>
    <t>OSN Kimia</t>
  </si>
  <si>
    <t>OSN Fisika</t>
  </si>
  <si>
    <t>ADITIA SAPUTRA</t>
  </si>
  <si>
    <t>0089812757</t>
  </si>
  <si>
    <t>AKHMAD RAHMANDANI</t>
  </si>
  <si>
    <t>0082241875</t>
  </si>
  <si>
    <t>ANDRI GUNAWAN</t>
  </si>
  <si>
    <t>0086433910</t>
  </si>
  <si>
    <t>ASMIATUL USNI</t>
  </si>
  <si>
    <t>0083036762</t>
  </si>
  <si>
    <t>ASYIFA DWI KOMALA</t>
  </si>
  <si>
    <t>0086496352</t>
  </si>
  <si>
    <t>BAYU SAPUTRA</t>
  </si>
  <si>
    <t>0084361975</t>
  </si>
  <si>
    <t>DAVINA DWI ZAHRANI</t>
  </si>
  <si>
    <t>0082840323</t>
  </si>
  <si>
    <t>DISTA WULANDARI</t>
  </si>
  <si>
    <t>0098666981</t>
  </si>
  <si>
    <t>DWI RAFA DEMAULANA</t>
  </si>
  <si>
    <t>0088094603</t>
  </si>
  <si>
    <t>FAIBY GUSMA NUR IMANI</t>
  </si>
  <si>
    <t>0098540428</t>
  </si>
  <si>
    <t>FAJRUL DWI RATSAH</t>
  </si>
  <si>
    <t>0074522580</t>
  </si>
  <si>
    <t>FITRI SURYANI</t>
  </si>
  <si>
    <t>0081088619</t>
  </si>
  <si>
    <t>HAIKAL BAHTIAR</t>
  </si>
  <si>
    <t>0062185649</t>
  </si>
  <si>
    <t>HANI HARIANTI</t>
  </si>
  <si>
    <t>0081636663</t>
  </si>
  <si>
    <t>Irpandi</t>
  </si>
  <si>
    <t>0099279242</t>
  </si>
  <si>
    <t>Ketut Aditya Putra</t>
  </si>
  <si>
    <t>0093334229</t>
  </si>
  <si>
    <t>Keysa Alya Sabila</t>
  </si>
  <si>
    <t>0088989130</t>
  </si>
  <si>
    <t>LIBIA ZUMAIROH</t>
  </si>
  <si>
    <t>0081284698</t>
  </si>
  <si>
    <t>M RIZKY MULYADI</t>
  </si>
  <si>
    <t>0091211496</t>
  </si>
  <si>
    <t>MERI SAFITRI</t>
  </si>
  <si>
    <t>0097990272</t>
  </si>
  <si>
    <t>MERLYA AMANDA</t>
  </si>
  <si>
    <t>0098741711</t>
  </si>
  <si>
    <t>MUHAMMAD ALI RAHMAN</t>
  </si>
  <si>
    <t>0092769289</t>
  </si>
  <si>
    <t>MUKHLIS</t>
  </si>
  <si>
    <t>0084948957</t>
  </si>
  <si>
    <t>Nayla Avitasari</t>
  </si>
  <si>
    <t>0094606527</t>
  </si>
  <si>
    <t>Nova Nopianingsih</t>
  </si>
  <si>
    <t>0076706677</t>
  </si>
  <si>
    <t>Putri Ayu</t>
  </si>
  <si>
    <t>0096699932</t>
  </si>
  <si>
    <t>RAFII UDDARAJAT</t>
  </si>
  <si>
    <t>0095525274</t>
  </si>
  <si>
    <t>REZA IRAWAN</t>
  </si>
  <si>
    <t>0096741148</t>
  </si>
  <si>
    <t>RIRIN INDAH PERMATASARI</t>
  </si>
  <si>
    <t>0084229309</t>
  </si>
  <si>
    <t>SAHRATUL</t>
  </si>
  <si>
    <t>0092057765</t>
  </si>
  <si>
    <t>Selvi</t>
  </si>
  <si>
    <t>0099078158</t>
  </si>
  <si>
    <t>Sugianto</t>
  </si>
  <si>
    <t>0055190745</t>
  </si>
  <si>
    <t>Titen Ade Astuti</t>
  </si>
  <si>
    <t>0083373093</t>
  </si>
  <si>
    <t>WINDI AMELIA</t>
  </si>
  <si>
    <t>0096660813</t>
  </si>
  <si>
    <t>YUSUF ANDIKA</t>
  </si>
  <si>
    <t>0086742204</t>
  </si>
  <si>
    <t>Zahira Ourelia</t>
  </si>
  <si>
    <t>0084182874</t>
  </si>
  <si>
    <t>:  X-8</t>
  </si>
  <si>
    <t>0084773047</t>
  </si>
  <si>
    <t>ALAMSYAH</t>
  </si>
  <si>
    <t>0081983318</t>
  </si>
  <si>
    <t>AQLA GASANI PUTRA</t>
  </si>
  <si>
    <t>0098347663</t>
  </si>
  <si>
    <t>AULIA GUSTIANA</t>
  </si>
  <si>
    <t>0086046516</t>
  </si>
  <si>
    <t>DAFFA RABBANI HIDAYAT</t>
  </si>
  <si>
    <t>0097151620</t>
  </si>
  <si>
    <t>DESTA ANANTA ADE PRATAMA</t>
  </si>
  <si>
    <t>0081795166</t>
  </si>
  <si>
    <t>DISTY VEBRIA NENGSY</t>
  </si>
  <si>
    <t>0093096562</t>
  </si>
  <si>
    <t>Eka Saputri</t>
  </si>
  <si>
    <t>0073398907</t>
  </si>
  <si>
    <t>Fandi Jayantani</t>
  </si>
  <si>
    <t>0094173503</t>
  </si>
  <si>
    <t>FANNI ANASTASYA</t>
  </si>
  <si>
    <t>0089122351</t>
  </si>
  <si>
    <t>FITRIA ANJELINA</t>
  </si>
  <si>
    <t>0084680195</t>
  </si>
  <si>
    <t>HARNU ARTA SAPUTRA</t>
  </si>
  <si>
    <t>0083477019</t>
  </si>
  <si>
    <t>INTAN KOMALA DEWI</t>
  </si>
  <si>
    <t>0084776260</t>
  </si>
  <si>
    <t>IRWANSYA</t>
  </si>
  <si>
    <t>0098802909</t>
  </si>
  <si>
    <t>Khalisya Haura</t>
  </si>
  <si>
    <t>0081135933</t>
  </si>
  <si>
    <t>Lira Santika</t>
  </si>
  <si>
    <t>0083561034</t>
  </si>
  <si>
    <t>M. Riski Algazali</t>
  </si>
  <si>
    <t>0092312949</t>
  </si>
  <si>
    <t>MASTURI</t>
  </si>
  <si>
    <t>0065836949</t>
  </si>
  <si>
    <t>Miftahul Jannah</t>
  </si>
  <si>
    <t>0099064749</t>
  </si>
  <si>
    <t>Muhammad Fahri</t>
  </si>
  <si>
    <t>0099964520</t>
  </si>
  <si>
    <t>Nalara Queny Hilwad</t>
  </si>
  <si>
    <t>0098482828</t>
  </si>
  <si>
    <t>NAYLA ZAHRATUL IZZA</t>
  </si>
  <si>
    <t>0095575243</t>
  </si>
  <si>
    <t>Novita Eka Aprillia</t>
  </si>
  <si>
    <t>0099943103</t>
  </si>
  <si>
    <t>PUTRI MAOLANI</t>
  </si>
  <si>
    <t>0095536525</t>
  </si>
  <si>
    <t>RAMA DANA</t>
  </si>
  <si>
    <t>0098693618</t>
  </si>
  <si>
    <t>RIDHO KUSUMA</t>
  </si>
  <si>
    <t>0082039061</t>
  </si>
  <si>
    <t>RINA NOVITA SAJUNDA</t>
  </si>
  <si>
    <t>0088997864</t>
  </si>
  <si>
    <t>Ririn Yunita Claudia</t>
  </si>
  <si>
    <t>0092252971</t>
  </si>
  <si>
    <t>Sakina</t>
  </si>
  <si>
    <t>0091982706</t>
  </si>
  <si>
    <t>SILA APRIANI</t>
  </si>
  <si>
    <t>3082718609</t>
  </si>
  <si>
    <t>Teguh Amrizqullah</t>
  </si>
  <si>
    <t>0084000181</t>
  </si>
  <si>
    <t>TITIN SABILA</t>
  </si>
  <si>
    <t>0091997234</t>
  </si>
  <si>
    <t>Wulandari</t>
  </si>
  <si>
    <t>0088364964</t>
  </si>
  <si>
    <t>YUSUF</t>
  </si>
  <si>
    <t>0081188446</t>
  </si>
  <si>
    <t>ZURRIATUN TOYYIBAH</t>
  </si>
  <si>
    <t>0082068357</t>
  </si>
  <si>
    <t>Sikap</t>
  </si>
  <si>
    <t>:  X-1</t>
  </si>
  <si>
    <t>Abdal maulana</t>
  </si>
  <si>
    <t>0072664528</t>
  </si>
  <si>
    <t>ABIYAN PAWAS</t>
  </si>
  <si>
    <t>0095573882</t>
  </si>
  <si>
    <t>ADITIYA FAHRIANSYAH</t>
  </si>
  <si>
    <t>0092835175</t>
  </si>
  <si>
    <t>Adly Fardiansya</t>
  </si>
  <si>
    <t>0097590163</t>
  </si>
  <si>
    <t>AIRA</t>
  </si>
  <si>
    <t>0082777054</t>
  </si>
  <si>
    <t>ANDI KESYA HERLIANA</t>
  </si>
  <si>
    <t>0085563011</t>
  </si>
  <si>
    <t>ARIADI SAPUTRA</t>
  </si>
  <si>
    <t>0086792040</t>
  </si>
  <si>
    <t>AULIA FAJRIN</t>
  </si>
  <si>
    <t>0092670498</t>
  </si>
  <si>
    <t>DEBRAN PAREZA</t>
  </si>
  <si>
    <t>0096240334</t>
  </si>
  <si>
    <t>DIANSYAH APRIANI</t>
  </si>
  <si>
    <t>0089232714</t>
  </si>
  <si>
    <t>DITA AURELIA</t>
  </si>
  <si>
    <t>0085628789</t>
  </si>
  <si>
    <t>Fahmi Arifani Dwika</t>
  </si>
  <si>
    <t>0089135921</t>
  </si>
  <si>
    <t>FARID FATHIN</t>
  </si>
  <si>
    <t>0085761093</t>
  </si>
  <si>
    <t>Fatmawati</t>
  </si>
  <si>
    <t>0091988150</t>
  </si>
  <si>
    <t>Hendra</t>
  </si>
  <si>
    <t>0098905041</t>
  </si>
  <si>
    <t>INTAN SAHIRA ILANI</t>
  </si>
  <si>
    <t>0095041655</t>
  </si>
  <si>
    <t>Jimmy Kurniawansyah</t>
  </si>
  <si>
    <t>0088277603</t>
  </si>
  <si>
    <t>KIKI PAREL</t>
  </si>
  <si>
    <t>0081533800</t>
  </si>
  <si>
    <t>Lila Awlya</t>
  </si>
  <si>
    <t>0091695535</t>
  </si>
  <si>
    <t>LOMBAN DAMAYANTI</t>
  </si>
  <si>
    <t>0094876316</t>
  </si>
  <si>
    <t>M Rayyan Fathir Ramdani</t>
  </si>
  <si>
    <t>0084392420</t>
  </si>
  <si>
    <t>M. Rasul AR</t>
  </si>
  <si>
    <t>0096748597</t>
  </si>
  <si>
    <t>MAY MARLINA PERTIWI</t>
  </si>
  <si>
    <t>0091538639</t>
  </si>
  <si>
    <t>MUHAMMAD FAHRI RAMADHAN</t>
  </si>
  <si>
    <t>0085533114</t>
  </si>
  <si>
    <t>NABILA DAMAYANTI</t>
  </si>
  <si>
    <t>0093364385</t>
  </si>
  <si>
    <t>NASYHA JUNIARSIH</t>
  </si>
  <si>
    <t>0087147507</t>
  </si>
  <si>
    <t>NOVITA WARDANI</t>
  </si>
  <si>
    <t>0088422179</t>
  </si>
  <si>
    <t>PAHRIL DAMARES</t>
  </si>
  <si>
    <t>0092491160</t>
  </si>
  <si>
    <t>Rahayu Desmayanti</t>
  </si>
  <si>
    <t>0099356818</t>
  </si>
  <si>
    <t>RAMA PERDANA LAKSAMANA</t>
  </si>
  <si>
    <t>0084215054</t>
  </si>
  <si>
    <t>Ridwan Ade Pratama</t>
  </si>
  <si>
    <t>0092890933</t>
  </si>
  <si>
    <t>RISA AGUSTINA</t>
  </si>
  <si>
    <t>0095305422</t>
  </si>
  <si>
    <t>SAKINAH SAFITRIANI</t>
  </si>
  <si>
    <t>0094195180</t>
  </si>
  <si>
    <t>SINTA SARI</t>
  </si>
  <si>
    <t>0072053837</t>
  </si>
  <si>
    <t>Teguh Jatmiko</t>
  </si>
  <si>
    <t>0082159410</t>
  </si>
  <si>
    <t>Vanesa Helwa Ratueda</t>
  </si>
  <si>
    <t>0092282825</t>
  </si>
  <si>
    <t>Baik</t>
  </si>
  <si>
    <t>Sangat baik</t>
  </si>
  <si>
    <t>0 Piagam</t>
  </si>
  <si>
    <t xml:space="preserve"> 1 Piagam</t>
  </si>
  <si>
    <t>1 Piagam</t>
  </si>
  <si>
    <t>4 Piagam</t>
  </si>
  <si>
    <t>3 Piagam</t>
  </si>
  <si>
    <t>Prestasi</t>
  </si>
  <si>
    <t>2 Piagam</t>
  </si>
  <si>
    <t>Preastasi</t>
  </si>
  <si>
    <t>Jumlah Piagam</t>
  </si>
  <si>
    <t xml:space="preserve">0 Piagam </t>
  </si>
  <si>
    <t xml:space="preserve"> Baik</t>
  </si>
  <si>
    <t>Kurang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</si>
</sst>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DEA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B6AE-71E2-4E4A-8330-27126DEF51AE}">
  <dimension ref="A1:AB43"/>
  <sheetViews>
    <sheetView topLeftCell="A7" zoomScale="57" workbookViewId="0">
      <selection activeCell="S14" sqref="S14"/>
    </sheetView>
  </sheetViews>
  <sheetFormatPr defaultRowHeight="14.5" x14ac:dyDescent="0.35"/>
  <cols>
    <col min="1" max="1" width="4" customWidth="1"/>
    <col min="2" max="2" width="30.1796875" bestFit="1" customWidth="1"/>
    <col min="3" max="3" width="11.7265625" customWidth="1"/>
    <col min="4" max="4" width="7.90625" customWidth="1"/>
    <col min="5" max="14" width="5" customWidth="1"/>
    <col min="15" max="15" width="6.1796875" customWidth="1"/>
    <col min="16" max="18" width="5" customWidth="1"/>
    <col min="19" max="19" width="12.90625" customWidth="1"/>
    <col min="20" max="27" width="5" customWidth="1"/>
    <col min="28" max="28" width="12.26953125" customWidth="1"/>
  </cols>
  <sheetData>
    <row r="1" spans="1:28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8" x14ac:dyDescent="0.35">
      <c r="A3" s="2" t="s">
        <v>3</v>
      </c>
      <c r="B3" s="2"/>
      <c r="C3" s="2" t="s">
        <v>549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x14ac:dyDescent="0.3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 t="s">
        <v>10</v>
      </c>
      <c r="Q4" s="15"/>
      <c r="R4" s="16"/>
      <c r="S4" s="7"/>
      <c r="T4" s="18" t="s">
        <v>11</v>
      </c>
      <c r="U4" s="15"/>
      <c r="V4" s="15"/>
      <c r="W4" s="15"/>
      <c r="X4" s="15"/>
      <c r="Y4" s="15"/>
      <c r="Z4" s="15"/>
      <c r="AA4" s="15"/>
      <c r="AB4" s="15" t="s">
        <v>632</v>
      </c>
    </row>
    <row r="5" spans="1:28" x14ac:dyDescent="0.35">
      <c r="A5" s="15"/>
      <c r="B5" s="15"/>
      <c r="C5" s="15"/>
      <c r="D5" s="15"/>
      <c r="E5" s="15" t="s">
        <v>12</v>
      </c>
      <c r="F5" s="15" t="s">
        <v>14</v>
      </c>
      <c r="G5" s="15" t="s">
        <v>15</v>
      </c>
      <c r="H5" s="15" t="s">
        <v>16</v>
      </c>
      <c r="I5" s="15" t="s">
        <v>17</v>
      </c>
      <c r="J5" s="15" t="s">
        <v>18</v>
      </c>
      <c r="K5" s="15" t="s">
        <v>19</v>
      </c>
      <c r="L5" s="15" t="s">
        <v>20</v>
      </c>
      <c r="M5" s="15" t="s">
        <v>21</v>
      </c>
      <c r="N5" s="15" t="s">
        <v>22</v>
      </c>
      <c r="O5" s="15" t="s">
        <v>106</v>
      </c>
      <c r="P5" s="15"/>
      <c r="Q5" s="15"/>
      <c r="R5" s="16"/>
      <c r="S5" s="8" t="s">
        <v>548</v>
      </c>
      <c r="T5" s="18" t="s">
        <v>23</v>
      </c>
      <c r="U5" s="15" t="s">
        <v>24</v>
      </c>
      <c r="V5" s="15" t="s">
        <v>109</v>
      </c>
      <c r="W5" s="15" t="s">
        <v>25</v>
      </c>
      <c r="X5" s="15" t="s">
        <v>404</v>
      </c>
      <c r="Y5" s="15" t="s">
        <v>26</v>
      </c>
      <c r="Z5" s="15" t="s">
        <v>257</v>
      </c>
      <c r="AA5" s="15" t="s">
        <v>405</v>
      </c>
      <c r="AB5" s="15"/>
    </row>
    <row r="6" spans="1:28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  <c r="S6" s="8"/>
      <c r="T6" s="18"/>
      <c r="U6" s="15"/>
      <c r="V6" s="15"/>
      <c r="W6" s="15"/>
      <c r="X6" s="15"/>
      <c r="Y6" s="15"/>
      <c r="Z6" s="15"/>
      <c r="AA6" s="15"/>
      <c r="AB6" s="15"/>
    </row>
    <row r="7" spans="1:28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3" t="s">
        <v>29</v>
      </c>
      <c r="Q7" s="3" t="s">
        <v>30</v>
      </c>
      <c r="R7" s="6" t="s">
        <v>31</v>
      </c>
      <c r="S7" s="9"/>
      <c r="T7" s="18"/>
      <c r="U7" s="15"/>
      <c r="V7" s="15"/>
      <c r="W7" s="15"/>
      <c r="X7" s="15"/>
      <c r="Y7" s="15"/>
      <c r="Z7" s="15"/>
      <c r="AA7" s="15"/>
      <c r="AB7" s="17"/>
    </row>
    <row r="8" spans="1:28" x14ac:dyDescent="0.35">
      <c r="A8" s="4">
        <v>1</v>
      </c>
      <c r="B8" s="4" t="s">
        <v>550</v>
      </c>
      <c r="C8" s="4" t="s">
        <v>551</v>
      </c>
      <c r="D8" s="4">
        <v>4584</v>
      </c>
      <c r="E8" s="4">
        <v>82</v>
      </c>
      <c r="F8" s="4">
        <v>81</v>
      </c>
      <c r="G8" s="4">
        <v>83</v>
      </c>
      <c r="H8" s="4">
        <v>78</v>
      </c>
      <c r="I8" s="4">
        <v>84</v>
      </c>
      <c r="J8" s="4">
        <v>86</v>
      </c>
      <c r="K8" s="4">
        <v>82</v>
      </c>
      <c r="L8" s="4">
        <v>81</v>
      </c>
      <c r="M8" s="4">
        <v>81</v>
      </c>
      <c r="N8" s="4">
        <v>82</v>
      </c>
      <c r="O8" s="5">
        <f>AVERAGE(E8:N8)</f>
        <v>82</v>
      </c>
      <c r="P8" s="4">
        <v>3</v>
      </c>
      <c r="Q8" s="4">
        <v>0</v>
      </c>
      <c r="R8" s="4">
        <v>2</v>
      </c>
      <c r="S8" s="13" t="s">
        <v>622</v>
      </c>
      <c r="T8" s="4" t="s">
        <v>60</v>
      </c>
      <c r="U8" s="4"/>
      <c r="V8" s="4"/>
      <c r="W8" s="4"/>
      <c r="X8" s="4"/>
      <c r="Y8" s="4"/>
      <c r="Z8" s="4"/>
      <c r="AA8" s="11"/>
      <c r="AB8" s="13" t="s">
        <v>624</v>
      </c>
    </row>
    <row r="9" spans="1:28" x14ac:dyDescent="0.35">
      <c r="A9" s="4">
        <v>2</v>
      </c>
      <c r="B9" s="4" t="s">
        <v>552</v>
      </c>
      <c r="C9" s="4" t="s">
        <v>553</v>
      </c>
      <c r="D9" s="4">
        <v>4877</v>
      </c>
      <c r="E9" s="4">
        <v>88</v>
      </c>
      <c r="F9" s="4">
        <v>86</v>
      </c>
      <c r="G9" s="4">
        <v>85</v>
      </c>
      <c r="H9" s="4">
        <v>83</v>
      </c>
      <c r="I9" s="4">
        <v>82</v>
      </c>
      <c r="J9" s="4">
        <v>81</v>
      </c>
      <c r="K9" s="4">
        <v>82</v>
      </c>
      <c r="L9" s="4">
        <v>82</v>
      </c>
      <c r="M9" s="4">
        <v>80</v>
      </c>
      <c r="N9" s="4">
        <v>81</v>
      </c>
      <c r="O9" s="5">
        <f t="shared" ref="O9:O43" si="0">AVERAGE(E9:N9)</f>
        <v>83</v>
      </c>
      <c r="P9" s="4">
        <v>2</v>
      </c>
      <c r="Q9" s="4">
        <v>0</v>
      </c>
      <c r="R9" s="4">
        <v>0</v>
      </c>
      <c r="S9" s="13" t="s">
        <v>622</v>
      </c>
      <c r="T9" s="4" t="s">
        <v>71</v>
      </c>
      <c r="U9" s="4"/>
      <c r="V9" s="4"/>
      <c r="W9" s="4"/>
      <c r="X9" s="4"/>
      <c r="Y9" s="4"/>
      <c r="Z9" s="4"/>
      <c r="AA9" s="11"/>
      <c r="AB9" s="13" t="s">
        <v>624</v>
      </c>
    </row>
    <row r="10" spans="1:28" x14ac:dyDescent="0.35">
      <c r="A10" s="4">
        <v>3</v>
      </c>
      <c r="B10" s="4" t="s">
        <v>554</v>
      </c>
      <c r="C10" s="4" t="s">
        <v>555</v>
      </c>
      <c r="D10" s="4">
        <v>4592</v>
      </c>
      <c r="E10" s="4">
        <v>80</v>
      </c>
      <c r="F10" s="4">
        <v>82</v>
      </c>
      <c r="G10" s="4">
        <v>79</v>
      </c>
      <c r="H10" s="4">
        <v>80</v>
      </c>
      <c r="I10" s="4">
        <v>80</v>
      </c>
      <c r="J10" s="4">
        <v>86</v>
      </c>
      <c r="K10" s="4">
        <v>80</v>
      </c>
      <c r="L10" s="4">
        <v>80</v>
      </c>
      <c r="M10" s="4">
        <v>80</v>
      </c>
      <c r="N10" s="4">
        <v>76</v>
      </c>
      <c r="O10" s="5">
        <f t="shared" si="0"/>
        <v>80.3</v>
      </c>
      <c r="P10" s="4">
        <v>0</v>
      </c>
      <c r="Q10" s="4">
        <v>0</v>
      </c>
      <c r="R10" s="4">
        <v>2</v>
      </c>
      <c r="S10" s="13" t="s">
        <v>622</v>
      </c>
      <c r="T10" s="4" t="s">
        <v>71</v>
      </c>
      <c r="U10" s="4"/>
      <c r="V10" s="4"/>
      <c r="W10" s="4"/>
      <c r="X10" s="4"/>
      <c r="Y10" s="4"/>
      <c r="Z10" s="4"/>
      <c r="AA10" s="11"/>
      <c r="AB10" s="13" t="s">
        <v>624</v>
      </c>
    </row>
    <row r="11" spans="1:28" x14ac:dyDescent="0.35">
      <c r="A11" s="4">
        <v>4</v>
      </c>
      <c r="B11" s="4" t="s">
        <v>556</v>
      </c>
      <c r="C11" s="4" t="s">
        <v>557</v>
      </c>
      <c r="D11" s="4">
        <v>4593</v>
      </c>
      <c r="E11" s="4">
        <v>88</v>
      </c>
      <c r="F11" s="4">
        <v>83</v>
      </c>
      <c r="G11" s="4">
        <v>88</v>
      </c>
      <c r="H11" s="4">
        <v>84</v>
      </c>
      <c r="I11" s="4">
        <v>85</v>
      </c>
      <c r="J11" s="4">
        <v>86</v>
      </c>
      <c r="K11" s="4">
        <v>88</v>
      </c>
      <c r="L11" s="4">
        <v>80</v>
      </c>
      <c r="M11" s="4">
        <v>86</v>
      </c>
      <c r="N11" s="4">
        <v>88</v>
      </c>
      <c r="O11" s="5">
        <f t="shared" si="0"/>
        <v>85.6</v>
      </c>
      <c r="P11" s="4">
        <v>2</v>
      </c>
      <c r="Q11" s="4">
        <v>0</v>
      </c>
      <c r="R11" s="4">
        <v>0</v>
      </c>
      <c r="S11" s="13" t="s">
        <v>622</v>
      </c>
      <c r="T11" s="4" t="s">
        <v>60</v>
      </c>
      <c r="U11" s="4"/>
      <c r="V11" s="4"/>
      <c r="W11" s="4"/>
      <c r="X11" s="4"/>
      <c r="Y11" s="4"/>
      <c r="Z11" s="4"/>
      <c r="AA11" s="11"/>
      <c r="AB11" s="13" t="s">
        <v>624</v>
      </c>
    </row>
    <row r="12" spans="1:28" x14ac:dyDescent="0.35">
      <c r="A12" s="4">
        <v>5</v>
      </c>
      <c r="B12" s="4" t="s">
        <v>558</v>
      </c>
      <c r="C12" s="4" t="s">
        <v>559</v>
      </c>
      <c r="D12" s="4">
        <v>4598</v>
      </c>
      <c r="E12" s="4">
        <v>82</v>
      </c>
      <c r="F12" s="4">
        <v>84</v>
      </c>
      <c r="G12" s="4">
        <v>83</v>
      </c>
      <c r="H12" s="4">
        <v>85</v>
      </c>
      <c r="I12" s="4">
        <v>83</v>
      </c>
      <c r="J12" s="4">
        <v>85</v>
      </c>
      <c r="K12" s="4">
        <v>84</v>
      </c>
      <c r="L12" s="4">
        <v>84</v>
      </c>
      <c r="M12" s="4">
        <v>82</v>
      </c>
      <c r="N12" s="4">
        <v>82</v>
      </c>
      <c r="O12" s="5">
        <f t="shared" si="0"/>
        <v>83.4</v>
      </c>
      <c r="P12" s="4">
        <v>3</v>
      </c>
      <c r="Q12" s="4">
        <v>0</v>
      </c>
      <c r="R12" s="4">
        <v>0</v>
      </c>
      <c r="S12" s="13" t="s">
        <v>622</v>
      </c>
      <c r="T12" s="4" t="s">
        <v>60</v>
      </c>
      <c r="U12" s="4"/>
      <c r="V12" s="4"/>
      <c r="W12" s="4"/>
      <c r="X12" s="4"/>
      <c r="Y12" s="4"/>
      <c r="Z12" s="4"/>
      <c r="AA12" s="11"/>
      <c r="AB12" s="13" t="s">
        <v>624</v>
      </c>
    </row>
    <row r="13" spans="1:28" x14ac:dyDescent="0.35">
      <c r="A13" s="4">
        <v>6</v>
      </c>
      <c r="B13" s="4" t="s">
        <v>560</v>
      </c>
      <c r="C13" s="4" t="s">
        <v>561</v>
      </c>
      <c r="D13" s="4">
        <v>4607</v>
      </c>
      <c r="E13" s="4">
        <v>87</v>
      </c>
      <c r="F13" s="4">
        <v>85</v>
      </c>
      <c r="G13" s="4">
        <v>88</v>
      </c>
      <c r="H13" s="4">
        <v>88</v>
      </c>
      <c r="I13" s="4">
        <v>85</v>
      </c>
      <c r="J13" s="4">
        <v>87</v>
      </c>
      <c r="K13" s="4">
        <v>85</v>
      </c>
      <c r="L13" s="4">
        <v>86</v>
      </c>
      <c r="M13" s="4">
        <v>83</v>
      </c>
      <c r="N13" s="4">
        <v>85</v>
      </c>
      <c r="O13" s="5">
        <f t="shared" si="0"/>
        <v>85.9</v>
      </c>
      <c r="P13" s="4">
        <v>2</v>
      </c>
      <c r="Q13" s="4">
        <v>0</v>
      </c>
      <c r="R13" s="4">
        <v>2</v>
      </c>
      <c r="S13" s="13" t="s">
        <v>623</v>
      </c>
      <c r="T13" s="4" t="s">
        <v>71</v>
      </c>
      <c r="U13" s="4"/>
      <c r="V13" s="4"/>
      <c r="W13" s="4"/>
      <c r="X13" s="4"/>
      <c r="Y13" s="4"/>
      <c r="Z13" s="4"/>
      <c r="AA13" s="11"/>
      <c r="AB13" s="13" t="s">
        <v>624</v>
      </c>
    </row>
    <row r="14" spans="1:28" x14ac:dyDescent="0.35">
      <c r="A14" s="4">
        <v>7</v>
      </c>
      <c r="B14" s="4" t="s">
        <v>562</v>
      </c>
      <c r="C14" s="4" t="s">
        <v>563</v>
      </c>
      <c r="D14" s="4">
        <v>4616</v>
      </c>
      <c r="E14" s="4">
        <v>79</v>
      </c>
      <c r="F14" s="4">
        <v>78</v>
      </c>
      <c r="G14" s="4">
        <v>79</v>
      </c>
      <c r="H14" s="4">
        <v>80</v>
      </c>
      <c r="I14" s="4">
        <v>78</v>
      </c>
      <c r="J14" s="4">
        <v>84</v>
      </c>
      <c r="K14" s="4">
        <v>80</v>
      </c>
      <c r="L14" s="4">
        <v>79</v>
      </c>
      <c r="M14" s="4">
        <v>80</v>
      </c>
      <c r="N14" s="4">
        <v>75</v>
      </c>
      <c r="O14" s="5">
        <f t="shared" si="0"/>
        <v>79.2</v>
      </c>
      <c r="P14" s="4">
        <v>1</v>
      </c>
      <c r="Q14" s="4">
        <v>0</v>
      </c>
      <c r="R14" s="4">
        <v>3</v>
      </c>
      <c r="S14" s="13" t="s">
        <v>622</v>
      </c>
      <c r="T14" s="4" t="s">
        <v>71</v>
      </c>
      <c r="U14" s="4"/>
      <c r="V14" s="4"/>
      <c r="W14" s="4"/>
      <c r="X14" s="4"/>
      <c r="Y14" s="4"/>
      <c r="Z14" s="4"/>
      <c r="AA14" s="11"/>
      <c r="AB14" s="13" t="s">
        <v>624</v>
      </c>
    </row>
    <row r="15" spans="1:28" x14ac:dyDescent="0.35">
      <c r="A15" s="4">
        <v>8</v>
      </c>
      <c r="B15" s="4" t="s">
        <v>564</v>
      </c>
      <c r="C15" s="4" t="s">
        <v>565</v>
      </c>
      <c r="D15" s="4">
        <v>4625</v>
      </c>
      <c r="E15" s="4">
        <v>85</v>
      </c>
      <c r="F15" s="4">
        <v>85</v>
      </c>
      <c r="G15" s="4">
        <v>83</v>
      </c>
      <c r="H15" s="4">
        <v>84</v>
      </c>
      <c r="I15" s="4">
        <v>80</v>
      </c>
      <c r="J15" s="4">
        <v>85</v>
      </c>
      <c r="K15" s="4">
        <v>82</v>
      </c>
      <c r="L15" s="4">
        <v>80</v>
      </c>
      <c r="M15" s="4">
        <v>82</v>
      </c>
      <c r="N15" s="4">
        <v>80</v>
      </c>
      <c r="O15" s="5">
        <f t="shared" si="0"/>
        <v>82.6</v>
      </c>
      <c r="P15" s="4">
        <v>0</v>
      </c>
      <c r="Q15" s="4">
        <v>0</v>
      </c>
      <c r="R15" s="4">
        <v>0</v>
      </c>
      <c r="S15" s="13" t="s">
        <v>623</v>
      </c>
      <c r="T15" s="4" t="s">
        <v>71</v>
      </c>
      <c r="U15" s="4"/>
      <c r="V15" s="4"/>
      <c r="W15" s="4"/>
      <c r="X15" s="4"/>
      <c r="Y15" s="4"/>
      <c r="Z15" s="4"/>
      <c r="AA15" s="11"/>
      <c r="AB15" s="13" t="s">
        <v>624</v>
      </c>
    </row>
    <row r="16" spans="1:28" x14ac:dyDescent="0.35">
      <c r="A16" s="4">
        <v>9</v>
      </c>
      <c r="B16" s="4" t="s">
        <v>566</v>
      </c>
      <c r="C16" s="4" t="s">
        <v>567</v>
      </c>
      <c r="D16" s="4">
        <v>4637</v>
      </c>
      <c r="E16" s="4">
        <v>78</v>
      </c>
      <c r="F16" s="4">
        <v>81</v>
      </c>
      <c r="G16" s="4">
        <v>83</v>
      </c>
      <c r="H16" s="4">
        <v>84</v>
      </c>
      <c r="I16" s="4">
        <v>79</v>
      </c>
      <c r="J16" s="4">
        <v>85</v>
      </c>
      <c r="K16" s="4">
        <v>82</v>
      </c>
      <c r="L16" s="4">
        <v>80</v>
      </c>
      <c r="M16" s="4">
        <v>81</v>
      </c>
      <c r="N16" s="4">
        <v>78</v>
      </c>
      <c r="O16" s="5">
        <f t="shared" si="0"/>
        <v>81.099999999999994</v>
      </c>
      <c r="P16" s="4">
        <v>2</v>
      </c>
      <c r="Q16" s="4">
        <v>0</v>
      </c>
      <c r="R16" s="4">
        <v>0</v>
      </c>
      <c r="S16" s="13" t="s">
        <v>622</v>
      </c>
      <c r="T16" s="4" t="s">
        <v>71</v>
      </c>
      <c r="U16" s="4"/>
      <c r="V16" s="4"/>
      <c r="W16" s="4"/>
      <c r="X16" s="4"/>
      <c r="Y16" s="4"/>
      <c r="Z16" s="4"/>
      <c r="AA16" s="11"/>
      <c r="AB16" s="13" t="s">
        <v>624</v>
      </c>
    </row>
    <row r="17" spans="1:28" x14ac:dyDescent="0.35">
      <c r="A17" s="4">
        <v>10</v>
      </c>
      <c r="B17" s="4" t="s">
        <v>568</v>
      </c>
      <c r="C17" s="4" t="s">
        <v>569</v>
      </c>
      <c r="D17" s="4">
        <v>4640</v>
      </c>
      <c r="E17" s="4">
        <v>84</v>
      </c>
      <c r="F17" s="4">
        <v>83</v>
      </c>
      <c r="G17" s="4">
        <v>83</v>
      </c>
      <c r="H17" s="4">
        <v>82</v>
      </c>
      <c r="I17" s="4">
        <v>80</v>
      </c>
      <c r="J17" s="4">
        <v>84</v>
      </c>
      <c r="K17" s="4">
        <v>84</v>
      </c>
      <c r="L17" s="4">
        <v>82</v>
      </c>
      <c r="M17" s="4">
        <v>80</v>
      </c>
      <c r="N17" s="4">
        <v>80</v>
      </c>
      <c r="O17" s="5">
        <f t="shared" si="0"/>
        <v>82.2</v>
      </c>
      <c r="P17" s="4">
        <v>3</v>
      </c>
      <c r="Q17" s="4">
        <v>1</v>
      </c>
      <c r="R17" s="4">
        <v>1</v>
      </c>
      <c r="S17" s="13" t="s">
        <v>622</v>
      </c>
      <c r="T17" s="4" t="s">
        <v>71</v>
      </c>
      <c r="U17" s="4"/>
      <c r="V17" s="4"/>
      <c r="W17" s="4"/>
      <c r="X17" s="4"/>
      <c r="Y17" s="4"/>
      <c r="Z17" s="4"/>
      <c r="AA17" s="11"/>
      <c r="AB17" s="13" t="s">
        <v>624</v>
      </c>
    </row>
    <row r="18" spans="1:28" x14ac:dyDescent="0.35">
      <c r="A18" s="4">
        <v>11</v>
      </c>
      <c r="B18" s="4" t="s">
        <v>570</v>
      </c>
      <c r="C18" s="4" t="s">
        <v>571</v>
      </c>
      <c r="D18" s="4">
        <v>4652</v>
      </c>
      <c r="E18" s="4">
        <v>82</v>
      </c>
      <c r="F18" s="4">
        <v>86</v>
      </c>
      <c r="G18" s="4">
        <v>83</v>
      </c>
      <c r="H18" s="4">
        <v>86</v>
      </c>
      <c r="I18" s="4">
        <v>82</v>
      </c>
      <c r="J18" s="4">
        <v>86</v>
      </c>
      <c r="K18" s="4">
        <v>84</v>
      </c>
      <c r="L18" s="4">
        <v>85</v>
      </c>
      <c r="M18" s="4">
        <v>84</v>
      </c>
      <c r="N18" s="4">
        <v>82</v>
      </c>
      <c r="O18" s="5">
        <f t="shared" si="0"/>
        <v>84</v>
      </c>
      <c r="P18" s="4">
        <v>0</v>
      </c>
      <c r="Q18" s="4">
        <v>0</v>
      </c>
      <c r="R18" s="4">
        <v>1</v>
      </c>
      <c r="S18" s="13" t="s">
        <v>622</v>
      </c>
      <c r="T18" s="4" t="s">
        <v>71</v>
      </c>
      <c r="U18" s="4"/>
      <c r="V18" s="4"/>
      <c r="W18" s="4"/>
      <c r="X18" s="4"/>
      <c r="Y18" s="4"/>
      <c r="Z18" s="4"/>
      <c r="AA18" s="11"/>
      <c r="AB18" s="13" t="s">
        <v>624</v>
      </c>
    </row>
    <row r="19" spans="1:28" x14ac:dyDescent="0.35">
      <c r="A19" s="4">
        <v>12</v>
      </c>
      <c r="B19" s="4" t="s">
        <v>572</v>
      </c>
      <c r="C19" s="4" t="s">
        <v>573</v>
      </c>
      <c r="D19" s="4">
        <v>4660</v>
      </c>
      <c r="E19" s="4">
        <v>88</v>
      </c>
      <c r="F19" s="4">
        <v>84</v>
      </c>
      <c r="G19" s="4">
        <v>85</v>
      </c>
      <c r="H19" s="4">
        <v>82</v>
      </c>
      <c r="I19" s="4">
        <v>82</v>
      </c>
      <c r="J19" s="4">
        <v>84</v>
      </c>
      <c r="K19" s="4">
        <v>84</v>
      </c>
      <c r="L19" s="4">
        <v>81</v>
      </c>
      <c r="M19" s="4">
        <v>80</v>
      </c>
      <c r="N19" s="4">
        <v>82</v>
      </c>
      <c r="O19" s="5">
        <f t="shared" si="0"/>
        <v>83.2</v>
      </c>
      <c r="P19" s="4">
        <v>3</v>
      </c>
      <c r="Q19" s="4">
        <v>0</v>
      </c>
      <c r="R19" s="4">
        <v>2</v>
      </c>
      <c r="S19" s="13" t="s">
        <v>622</v>
      </c>
      <c r="T19" s="4" t="s">
        <v>60</v>
      </c>
      <c r="U19" s="4"/>
      <c r="V19" s="4"/>
      <c r="W19" s="4"/>
      <c r="X19" s="4"/>
      <c r="Y19" s="4"/>
      <c r="Z19" s="4"/>
      <c r="AA19" s="11"/>
      <c r="AB19" s="13" t="s">
        <v>624</v>
      </c>
    </row>
    <row r="20" spans="1:28" x14ac:dyDescent="0.35">
      <c r="A20" s="4">
        <v>13</v>
      </c>
      <c r="B20" s="4" t="s">
        <v>574</v>
      </c>
      <c r="C20" s="4" t="s">
        <v>575</v>
      </c>
      <c r="D20" s="4">
        <v>4670</v>
      </c>
      <c r="E20" s="4">
        <v>80</v>
      </c>
      <c r="F20" s="4">
        <v>83</v>
      </c>
      <c r="G20" s="4">
        <v>88</v>
      </c>
      <c r="H20" s="4">
        <v>83</v>
      </c>
      <c r="I20" s="4">
        <v>82</v>
      </c>
      <c r="J20" s="4">
        <v>82</v>
      </c>
      <c r="K20" s="4">
        <v>83</v>
      </c>
      <c r="L20" s="4">
        <v>80</v>
      </c>
      <c r="M20" s="4">
        <v>80</v>
      </c>
      <c r="N20" s="4">
        <v>78</v>
      </c>
      <c r="O20" s="5">
        <f t="shared" si="0"/>
        <v>81.900000000000006</v>
      </c>
      <c r="P20" s="4">
        <v>0</v>
      </c>
      <c r="Q20" s="4">
        <v>1</v>
      </c>
      <c r="R20" s="4">
        <v>2</v>
      </c>
      <c r="S20" s="13" t="s">
        <v>622</v>
      </c>
      <c r="T20" s="4" t="s">
        <v>71</v>
      </c>
      <c r="U20" s="4"/>
      <c r="V20" s="4"/>
      <c r="W20" s="4"/>
      <c r="X20" s="4"/>
      <c r="Y20" s="4"/>
      <c r="Z20" s="4"/>
      <c r="AA20" s="11"/>
      <c r="AB20" s="13" t="s">
        <v>624</v>
      </c>
    </row>
    <row r="21" spans="1:28" x14ac:dyDescent="0.35">
      <c r="A21" s="4">
        <v>14</v>
      </c>
      <c r="B21" s="4" t="s">
        <v>576</v>
      </c>
      <c r="C21" s="4" t="s">
        <v>577</v>
      </c>
      <c r="D21" s="4">
        <v>4671</v>
      </c>
      <c r="E21" s="4">
        <v>84</v>
      </c>
      <c r="F21" s="4">
        <v>82</v>
      </c>
      <c r="G21" s="4">
        <v>83</v>
      </c>
      <c r="H21" s="4">
        <v>81</v>
      </c>
      <c r="I21" s="4">
        <v>76</v>
      </c>
      <c r="J21" s="4">
        <v>80</v>
      </c>
      <c r="K21" s="4">
        <v>79</v>
      </c>
      <c r="L21" s="4">
        <v>79</v>
      </c>
      <c r="M21" s="4">
        <v>78</v>
      </c>
      <c r="N21" s="4">
        <v>75</v>
      </c>
      <c r="O21" s="5">
        <f t="shared" si="0"/>
        <v>79.7</v>
      </c>
      <c r="P21" s="4">
        <v>2</v>
      </c>
      <c r="Q21" s="4">
        <v>0</v>
      </c>
      <c r="R21" s="4">
        <v>6</v>
      </c>
      <c r="S21" s="13" t="s">
        <v>622</v>
      </c>
      <c r="T21" s="4" t="s">
        <v>71</v>
      </c>
      <c r="U21" s="4"/>
      <c r="V21" s="4"/>
      <c r="W21" s="4"/>
      <c r="X21" s="4"/>
      <c r="Y21" s="4"/>
      <c r="Z21" s="4"/>
      <c r="AA21" s="11"/>
      <c r="AB21" s="13" t="s">
        <v>624</v>
      </c>
    </row>
    <row r="22" spans="1:28" x14ac:dyDescent="0.35">
      <c r="A22" s="4">
        <v>15</v>
      </c>
      <c r="B22" s="4" t="s">
        <v>578</v>
      </c>
      <c r="C22" s="4" t="s">
        <v>579</v>
      </c>
      <c r="D22" s="4">
        <v>4695</v>
      </c>
      <c r="E22" s="4">
        <v>80</v>
      </c>
      <c r="F22" s="4">
        <v>85</v>
      </c>
      <c r="G22" s="4">
        <v>83</v>
      </c>
      <c r="H22" s="4">
        <v>82</v>
      </c>
      <c r="I22" s="4">
        <v>82</v>
      </c>
      <c r="J22" s="4">
        <v>86</v>
      </c>
      <c r="K22" s="4">
        <v>82</v>
      </c>
      <c r="L22" s="4">
        <v>80</v>
      </c>
      <c r="M22" s="4">
        <v>82</v>
      </c>
      <c r="N22" s="4">
        <v>82</v>
      </c>
      <c r="O22" s="5">
        <f t="shared" si="0"/>
        <v>82.4</v>
      </c>
      <c r="P22" s="4">
        <v>0</v>
      </c>
      <c r="Q22" s="4">
        <v>0</v>
      </c>
      <c r="R22" s="4">
        <v>0</v>
      </c>
      <c r="S22" s="13" t="s">
        <v>623</v>
      </c>
      <c r="T22" s="4" t="s">
        <v>71</v>
      </c>
      <c r="U22" s="4"/>
      <c r="V22" s="4"/>
      <c r="W22" s="4"/>
      <c r="X22" s="4"/>
      <c r="Y22" s="4"/>
      <c r="Z22" s="4"/>
      <c r="AA22" s="11"/>
      <c r="AB22" s="13" t="s">
        <v>624</v>
      </c>
    </row>
    <row r="23" spans="1:28" x14ac:dyDescent="0.35">
      <c r="A23" s="4">
        <v>16</v>
      </c>
      <c r="B23" s="4" t="s">
        <v>580</v>
      </c>
      <c r="C23" s="4" t="s">
        <v>581</v>
      </c>
      <c r="D23" s="4">
        <v>4702</v>
      </c>
      <c r="E23" s="4">
        <v>88</v>
      </c>
      <c r="F23" s="4">
        <v>86</v>
      </c>
      <c r="G23" s="4">
        <v>85</v>
      </c>
      <c r="H23" s="4">
        <v>86</v>
      </c>
      <c r="I23" s="4">
        <v>85</v>
      </c>
      <c r="J23" s="4">
        <v>85</v>
      </c>
      <c r="K23" s="4">
        <v>86</v>
      </c>
      <c r="L23" s="4">
        <v>85</v>
      </c>
      <c r="M23" s="4">
        <v>84</v>
      </c>
      <c r="N23" s="4">
        <v>83</v>
      </c>
      <c r="O23" s="5">
        <f t="shared" si="0"/>
        <v>85.3</v>
      </c>
      <c r="P23" s="4">
        <v>1</v>
      </c>
      <c r="Q23" s="4">
        <v>0</v>
      </c>
      <c r="R23" s="4">
        <v>0</v>
      </c>
      <c r="S23" s="13" t="s">
        <v>622</v>
      </c>
      <c r="T23" s="4" t="s">
        <v>71</v>
      </c>
      <c r="U23" s="4"/>
      <c r="V23" s="4"/>
      <c r="W23" s="4"/>
      <c r="X23" s="4"/>
      <c r="Y23" s="4"/>
      <c r="Z23" s="4"/>
      <c r="AA23" s="11"/>
      <c r="AB23" s="13" t="s">
        <v>624</v>
      </c>
    </row>
    <row r="24" spans="1:28" x14ac:dyDescent="0.35">
      <c r="A24" s="4">
        <v>17</v>
      </c>
      <c r="B24" s="4" t="s">
        <v>582</v>
      </c>
      <c r="C24" s="4" t="s">
        <v>583</v>
      </c>
      <c r="D24" s="4">
        <v>4706</v>
      </c>
      <c r="E24" s="4">
        <v>88</v>
      </c>
      <c r="F24" s="4">
        <v>84</v>
      </c>
      <c r="G24" s="4">
        <v>84</v>
      </c>
      <c r="H24" s="4">
        <v>88</v>
      </c>
      <c r="I24" s="4">
        <v>84</v>
      </c>
      <c r="J24" s="4">
        <v>86</v>
      </c>
      <c r="K24" s="4">
        <v>88</v>
      </c>
      <c r="L24" s="4">
        <v>86</v>
      </c>
      <c r="M24" s="4">
        <v>85</v>
      </c>
      <c r="N24" s="4">
        <v>83</v>
      </c>
      <c r="O24" s="5">
        <f t="shared" si="0"/>
        <v>85.6</v>
      </c>
      <c r="P24" s="4">
        <v>0</v>
      </c>
      <c r="Q24" s="4">
        <v>0</v>
      </c>
      <c r="R24" s="4">
        <v>1</v>
      </c>
      <c r="S24" s="13" t="s">
        <v>622</v>
      </c>
      <c r="T24" s="4" t="s">
        <v>60</v>
      </c>
      <c r="U24" s="4"/>
      <c r="V24" s="4" t="s">
        <v>60</v>
      </c>
      <c r="W24" s="4"/>
      <c r="X24" s="4"/>
      <c r="Y24" s="4"/>
      <c r="Z24" s="4"/>
      <c r="AA24" s="11"/>
      <c r="AB24" s="13" t="s">
        <v>625</v>
      </c>
    </row>
    <row r="25" spans="1:28" x14ac:dyDescent="0.35">
      <c r="A25" s="4">
        <v>18</v>
      </c>
      <c r="B25" s="4" t="s">
        <v>584</v>
      </c>
      <c r="C25" s="4" t="s">
        <v>585</v>
      </c>
      <c r="D25" s="4">
        <v>4718</v>
      </c>
      <c r="E25" s="4">
        <v>80</v>
      </c>
      <c r="F25" s="4">
        <v>79</v>
      </c>
      <c r="G25" s="4">
        <v>83</v>
      </c>
      <c r="H25" s="4">
        <v>78</v>
      </c>
      <c r="I25" s="4">
        <v>82</v>
      </c>
      <c r="J25" s="4">
        <v>80</v>
      </c>
      <c r="K25" s="4">
        <v>79</v>
      </c>
      <c r="L25" s="4">
        <v>79</v>
      </c>
      <c r="M25" s="4">
        <v>80</v>
      </c>
      <c r="N25" s="4">
        <v>76</v>
      </c>
      <c r="O25" s="5">
        <f t="shared" si="0"/>
        <v>79.599999999999994</v>
      </c>
      <c r="P25" s="4">
        <v>1</v>
      </c>
      <c r="Q25" s="4">
        <v>0</v>
      </c>
      <c r="R25" s="4">
        <v>3</v>
      </c>
      <c r="S25" s="13" t="s">
        <v>622</v>
      </c>
      <c r="T25" s="4" t="s">
        <v>71</v>
      </c>
      <c r="U25" s="4"/>
      <c r="V25" s="4"/>
      <c r="W25" s="4"/>
      <c r="X25" s="4"/>
      <c r="Y25" s="4"/>
      <c r="Z25" s="4"/>
      <c r="AA25" s="11"/>
      <c r="AB25" s="13" t="s">
        <v>624</v>
      </c>
    </row>
    <row r="26" spans="1:28" x14ac:dyDescent="0.35">
      <c r="A26" s="4">
        <v>19</v>
      </c>
      <c r="B26" s="4" t="s">
        <v>586</v>
      </c>
      <c r="C26" s="4" t="s">
        <v>587</v>
      </c>
      <c r="D26" s="4">
        <v>4723</v>
      </c>
      <c r="E26" s="4">
        <v>85</v>
      </c>
      <c r="F26" s="4">
        <v>86</v>
      </c>
      <c r="G26" s="4">
        <v>88</v>
      </c>
      <c r="H26" s="4">
        <v>88</v>
      </c>
      <c r="I26" s="4">
        <v>86</v>
      </c>
      <c r="J26" s="4">
        <v>86</v>
      </c>
      <c r="K26" s="4">
        <v>87</v>
      </c>
      <c r="L26" s="4">
        <v>84</v>
      </c>
      <c r="M26" s="4">
        <v>85</v>
      </c>
      <c r="N26" s="4">
        <v>88</v>
      </c>
      <c r="O26" s="5">
        <f t="shared" si="0"/>
        <v>86.3</v>
      </c>
      <c r="P26" s="4">
        <v>0</v>
      </c>
      <c r="Q26" s="4">
        <v>0</v>
      </c>
      <c r="R26" s="4">
        <v>0</v>
      </c>
      <c r="S26" s="13" t="s">
        <v>623</v>
      </c>
      <c r="T26" s="4" t="s">
        <v>71</v>
      </c>
      <c r="U26" s="4"/>
      <c r="V26" s="4"/>
      <c r="W26" s="4"/>
      <c r="X26" s="4"/>
      <c r="Y26" s="4"/>
      <c r="Z26" s="4"/>
      <c r="AA26" s="11"/>
      <c r="AB26" s="13" t="s">
        <v>626</v>
      </c>
    </row>
    <row r="27" spans="1:28" x14ac:dyDescent="0.35">
      <c r="A27" s="4">
        <v>20</v>
      </c>
      <c r="B27" s="4" t="s">
        <v>588</v>
      </c>
      <c r="C27" s="4" t="s">
        <v>589</v>
      </c>
      <c r="D27" s="4">
        <v>4725</v>
      </c>
      <c r="E27" s="4">
        <v>86</v>
      </c>
      <c r="F27" s="4">
        <v>84</v>
      </c>
      <c r="G27" s="4">
        <v>83</v>
      </c>
      <c r="H27" s="4">
        <v>81</v>
      </c>
      <c r="I27" s="4">
        <v>82</v>
      </c>
      <c r="J27" s="4">
        <v>86</v>
      </c>
      <c r="K27" s="4">
        <v>83</v>
      </c>
      <c r="L27" s="4">
        <v>83</v>
      </c>
      <c r="M27" s="4">
        <v>80</v>
      </c>
      <c r="N27" s="4">
        <v>80</v>
      </c>
      <c r="O27" s="5">
        <f t="shared" si="0"/>
        <v>82.8</v>
      </c>
      <c r="P27" s="4">
        <v>2</v>
      </c>
      <c r="Q27" s="4">
        <v>0</v>
      </c>
      <c r="R27" s="4">
        <v>0</v>
      </c>
      <c r="S27" s="13" t="s">
        <v>622</v>
      </c>
      <c r="T27" s="4" t="s">
        <v>71</v>
      </c>
      <c r="U27" s="4" t="s">
        <v>71</v>
      </c>
      <c r="V27" s="4"/>
      <c r="W27" s="4"/>
      <c r="X27" s="4"/>
      <c r="Y27" s="4"/>
      <c r="Z27" s="4"/>
      <c r="AA27" s="11"/>
      <c r="AB27" s="13" t="s">
        <v>626</v>
      </c>
    </row>
    <row r="28" spans="1:28" x14ac:dyDescent="0.35">
      <c r="A28" s="4">
        <v>21</v>
      </c>
      <c r="B28" s="4" t="s">
        <v>590</v>
      </c>
      <c r="C28" s="4" t="s">
        <v>591</v>
      </c>
      <c r="D28" s="4">
        <v>4732</v>
      </c>
      <c r="E28" s="4">
        <v>90</v>
      </c>
      <c r="F28" s="4">
        <v>86</v>
      </c>
      <c r="G28" s="4">
        <v>83</v>
      </c>
      <c r="H28" s="4">
        <v>82</v>
      </c>
      <c r="I28" s="4">
        <v>87</v>
      </c>
      <c r="J28" s="4">
        <v>87</v>
      </c>
      <c r="K28" s="4">
        <v>86</v>
      </c>
      <c r="L28" s="4">
        <v>87</v>
      </c>
      <c r="M28" s="4">
        <v>86</v>
      </c>
      <c r="N28" s="4">
        <v>87</v>
      </c>
      <c r="O28" s="5">
        <f t="shared" si="0"/>
        <v>86.1</v>
      </c>
      <c r="P28" s="4">
        <v>0</v>
      </c>
      <c r="Q28" s="4">
        <v>0</v>
      </c>
      <c r="R28" s="4">
        <v>0</v>
      </c>
      <c r="S28" s="13" t="s">
        <v>623</v>
      </c>
      <c r="T28" s="4" t="s">
        <v>71</v>
      </c>
      <c r="U28" s="4"/>
      <c r="V28" s="4" t="s">
        <v>60</v>
      </c>
      <c r="W28" s="4"/>
      <c r="X28" s="4"/>
      <c r="Y28" s="4" t="s">
        <v>71</v>
      </c>
      <c r="Z28" s="4" t="s">
        <v>71</v>
      </c>
      <c r="AA28" s="11" t="s">
        <v>71</v>
      </c>
      <c r="AB28" s="13" t="s">
        <v>628</v>
      </c>
    </row>
    <row r="29" spans="1:28" x14ac:dyDescent="0.35">
      <c r="A29" s="4">
        <v>22</v>
      </c>
      <c r="B29" s="4" t="s">
        <v>592</v>
      </c>
      <c r="C29" s="4" t="s">
        <v>593</v>
      </c>
      <c r="D29" s="4">
        <v>4731</v>
      </c>
      <c r="E29" s="4">
        <v>78</v>
      </c>
      <c r="F29" s="4">
        <v>81</v>
      </c>
      <c r="G29" s="4">
        <v>83</v>
      </c>
      <c r="H29" s="4">
        <v>78</v>
      </c>
      <c r="I29" s="4">
        <v>77</v>
      </c>
      <c r="J29" s="4">
        <v>86</v>
      </c>
      <c r="K29" s="4">
        <v>80</v>
      </c>
      <c r="L29" s="4">
        <v>79</v>
      </c>
      <c r="M29" s="4">
        <v>79</v>
      </c>
      <c r="N29" s="4">
        <v>78</v>
      </c>
      <c r="O29" s="5">
        <f t="shared" si="0"/>
        <v>79.900000000000006</v>
      </c>
      <c r="P29" s="4">
        <v>1</v>
      </c>
      <c r="Q29" s="4">
        <v>0</v>
      </c>
      <c r="R29" s="4">
        <v>2</v>
      </c>
      <c r="S29" s="13" t="s">
        <v>622</v>
      </c>
      <c r="T29" s="4" t="s">
        <v>71</v>
      </c>
      <c r="U29" s="4"/>
      <c r="V29" s="4"/>
      <c r="W29" s="4"/>
      <c r="X29" s="4"/>
      <c r="Y29" s="4"/>
      <c r="Z29" s="4"/>
      <c r="AA29" s="11"/>
      <c r="AB29" s="13" t="s">
        <v>624</v>
      </c>
    </row>
    <row r="30" spans="1:28" x14ac:dyDescent="0.35">
      <c r="A30" s="4">
        <v>23</v>
      </c>
      <c r="B30" s="4" t="s">
        <v>594</v>
      </c>
      <c r="C30" s="4" t="s">
        <v>595</v>
      </c>
      <c r="D30" s="4">
        <v>4742</v>
      </c>
      <c r="E30" s="4">
        <v>80</v>
      </c>
      <c r="F30" s="4">
        <v>85</v>
      </c>
      <c r="G30" s="4">
        <v>86</v>
      </c>
      <c r="H30" s="4">
        <v>79</v>
      </c>
      <c r="I30" s="4">
        <v>82</v>
      </c>
      <c r="J30" s="4">
        <v>85</v>
      </c>
      <c r="K30" s="4">
        <v>82</v>
      </c>
      <c r="L30" s="4">
        <v>80</v>
      </c>
      <c r="M30" s="4">
        <v>81</v>
      </c>
      <c r="N30" s="4">
        <v>80</v>
      </c>
      <c r="O30" s="5">
        <f t="shared" si="0"/>
        <v>82</v>
      </c>
      <c r="P30" s="4">
        <v>1</v>
      </c>
      <c r="Q30" s="4">
        <v>0</v>
      </c>
      <c r="R30" s="4">
        <v>1</v>
      </c>
      <c r="S30" s="13" t="s">
        <v>622</v>
      </c>
      <c r="T30" s="4" t="s">
        <v>71</v>
      </c>
      <c r="U30" s="4"/>
      <c r="V30" s="4"/>
      <c r="W30" s="4"/>
      <c r="X30" s="4"/>
      <c r="Y30" s="4"/>
      <c r="Z30" s="4"/>
      <c r="AA30" s="11"/>
      <c r="AB30" s="13" t="s">
        <v>624</v>
      </c>
    </row>
    <row r="31" spans="1:28" x14ac:dyDescent="0.35">
      <c r="A31" s="4">
        <v>24</v>
      </c>
      <c r="B31" s="4" t="s">
        <v>596</v>
      </c>
      <c r="C31" s="4" t="s">
        <v>597</v>
      </c>
      <c r="D31" s="4">
        <v>4756</v>
      </c>
      <c r="E31" s="4">
        <v>80</v>
      </c>
      <c r="F31" s="4">
        <v>81</v>
      </c>
      <c r="G31" s="4">
        <v>84</v>
      </c>
      <c r="H31" s="4">
        <v>78</v>
      </c>
      <c r="I31" s="4">
        <v>78</v>
      </c>
      <c r="J31" s="4">
        <v>85</v>
      </c>
      <c r="K31" s="4">
        <v>80</v>
      </c>
      <c r="L31" s="4">
        <v>80</v>
      </c>
      <c r="M31" s="4">
        <v>78</v>
      </c>
      <c r="N31" s="4">
        <v>79</v>
      </c>
      <c r="O31" s="5">
        <f t="shared" si="0"/>
        <v>80.3</v>
      </c>
      <c r="P31" s="4">
        <v>0</v>
      </c>
      <c r="Q31" s="4">
        <v>0</v>
      </c>
      <c r="R31" s="4">
        <v>2</v>
      </c>
      <c r="S31" s="13" t="s">
        <v>622</v>
      </c>
      <c r="T31" s="4" t="s">
        <v>71</v>
      </c>
      <c r="U31" s="4"/>
      <c r="V31" s="4"/>
      <c r="W31" s="4"/>
      <c r="X31" s="4"/>
      <c r="Y31" s="4"/>
      <c r="Z31" s="4"/>
      <c r="AA31" s="11"/>
      <c r="AB31" s="13" t="s">
        <v>624</v>
      </c>
    </row>
    <row r="32" spans="1:28" x14ac:dyDescent="0.35">
      <c r="A32" s="4">
        <v>25</v>
      </c>
      <c r="B32" s="4" t="s">
        <v>598</v>
      </c>
      <c r="C32" s="4" t="s">
        <v>599</v>
      </c>
      <c r="D32" s="4">
        <v>4763</v>
      </c>
      <c r="E32" s="4">
        <v>84</v>
      </c>
      <c r="F32" s="4">
        <v>84</v>
      </c>
      <c r="G32" s="4">
        <v>83</v>
      </c>
      <c r="H32" s="4">
        <v>84</v>
      </c>
      <c r="I32" s="4">
        <v>82</v>
      </c>
      <c r="J32" s="4">
        <v>84</v>
      </c>
      <c r="K32" s="4">
        <v>85</v>
      </c>
      <c r="L32" s="4">
        <v>82</v>
      </c>
      <c r="M32" s="4">
        <v>82</v>
      </c>
      <c r="N32" s="4">
        <v>83</v>
      </c>
      <c r="O32" s="5">
        <f t="shared" si="0"/>
        <v>83.3</v>
      </c>
      <c r="P32" s="4">
        <v>0</v>
      </c>
      <c r="Q32" s="4">
        <v>0</v>
      </c>
      <c r="R32" s="4">
        <v>0</v>
      </c>
      <c r="S32" s="13" t="s">
        <v>623</v>
      </c>
      <c r="T32" s="4" t="s">
        <v>71</v>
      </c>
      <c r="U32" s="4"/>
      <c r="V32" s="4"/>
      <c r="W32" s="4"/>
      <c r="X32" s="4"/>
      <c r="Y32" s="4"/>
      <c r="Z32" s="4"/>
      <c r="AA32" s="11"/>
      <c r="AB32" s="13" t="s">
        <v>624</v>
      </c>
    </row>
    <row r="33" spans="1:28" x14ac:dyDescent="0.35">
      <c r="A33" s="4">
        <v>26</v>
      </c>
      <c r="B33" s="4" t="s">
        <v>600</v>
      </c>
      <c r="C33" s="4" t="s">
        <v>601</v>
      </c>
      <c r="D33" s="4">
        <v>4772</v>
      </c>
      <c r="E33" s="4">
        <v>88</v>
      </c>
      <c r="F33" s="4">
        <v>87</v>
      </c>
      <c r="G33" s="4">
        <v>88</v>
      </c>
      <c r="H33" s="4">
        <v>86</v>
      </c>
      <c r="I33" s="4">
        <v>87</v>
      </c>
      <c r="J33" s="4">
        <v>87</v>
      </c>
      <c r="K33" s="4">
        <v>88</v>
      </c>
      <c r="L33" s="4">
        <v>87</v>
      </c>
      <c r="M33" s="4">
        <v>86</v>
      </c>
      <c r="N33" s="4">
        <v>88</v>
      </c>
      <c r="O33" s="5">
        <f t="shared" si="0"/>
        <v>87.2</v>
      </c>
      <c r="P33" s="4">
        <v>0</v>
      </c>
      <c r="Q33" s="4">
        <v>0</v>
      </c>
      <c r="R33" s="4">
        <v>0</v>
      </c>
      <c r="S33" s="13" t="s">
        <v>623</v>
      </c>
      <c r="T33" s="4" t="s">
        <v>71</v>
      </c>
      <c r="U33" s="4"/>
      <c r="V33" s="4"/>
      <c r="W33" s="4" t="s">
        <v>71</v>
      </c>
      <c r="X33" s="4" t="s">
        <v>60</v>
      </c>
      <c r="Y33" s="4"/>
      <c r="Z33" s="4"/>
      <c r="AA33" s="11"/>
      <c r="AB33" s="13" t="s">
        <v>630</v>
      </c>
    </row>
    <row r="34" spans="1:28" x14ac:dyDescent="0.35">
      <c r="A34" s="4">
        <v>27</v>
      </c>
      <c r="B34" s="4" t="s">
        <v>602</v>
      </c>
      <c r="C34" s="4" t="s">
        <v>603</v>
      </c>
      <c r="D34" s="4">
        <v>4781</v>
      </c>
      <c r="E34" s="4">
        <v>86</v>
      </c>
      <c r="F34" s="4">
        <v>85</v>
      </c>
      <c r="G34" s="4">
        <v>83</v>
      </c>
      <c r="H34" s="4">
        <v>85</v>
      </c>
      <c r="I34" s="4">
        <v>84</v>
      </c>
      <c r="J34" s="4">
        <v>85</v>
      </c>
      <c r="K34" s="4">
        <v>82</v>
      </c>
      <c r="L34" s="4">
        <v>82</v>
      </c>
      <c r="M34" s="4">
        <v>83</v>
      </c>
      <c r="N34" s="4">
        <v>82</v>
      </c>
      <c r="O34" s="5">
        <f t="shared" si="0"/>
        <v>83.7</v>
      </c>
      <c r="P34" s="4">
        <v>1</v>
      </c>
      <c r="Q34" s="4">
        <v>0</v>
      </c>
      <c r="R34" s="4">
        <v>0</v>
      </c>
      <c r="S34" s="13" t="s">
        <v>622</v>
      </c>
      <c r="T34" s="4" t="s">
        <v>71</v>
      </c>
      <c r="U34" s="4"/>
      <c r="V34" s="4"/>
      <c r="W34" s="4"/>
      <c r="X34" s="4"/>
      <c r="Y34" s="4"/>
      <c r="Z34" s="4"/>
      <c r="AA34" s="11"/>
      <c r="AB34" s="13" t="s">
        <v>624</v>
      </c>
    </row>
    <row r="35" spans="1:28" x14ac:dyDescent="0.35">
      <c r="A35" s="4">
        <v>28</v>
      </c>
      <c r="B35" s="4" t="s">
        <v>604</v>
      </c>
      <c r="C35" s="4" t="s">
        <v>605</v>
      </c>
      <c r="D35" s="4">
        <v>4788</v>
      </c>
      <c r="E35" s="4">
        <v>79</v>
      </c>
      <c r="F35" s="4">
        <v>86</v>
      </c>
      <c r="G35" s="4">
        <v>88</v>
      </c>
      <c r="H35" s="4">
        <v>87</v>
      </c>
      <c r="I35" s="4">
        <v>80</v>
      </c>
      <c r="J35" s="4">
        <v>86</v>
      </c>
      <c r="K35" s="4">
        <v>84</v>
      </c>
      <c r="L35" s="4">
        <v>79</v>
      </c>
      <c r="M35" s="4">
        <v>84</v>
      </c>
      <c r="N35" s="4">
        <v>82</v>
      </c>
      <c r="O35" s="5">
        <f t="shared" si="0"/>
        <v>83.5</v>
      </c>
      <c r="P35" s="4">
        <v>0</v>
      </c>
      <c r="Q35" s="4">
        <v>0</v>
      </c>
      <c r="R35" s="4">
        <v>0</v>
      </c>
      <c r="S35" s="13" t="s">
        <v>623</v>
      </c>
      <c r="T35" s="4" t="s">
        <v>71</v>
      </c>
      <c r="U35" s="4"/>
      <c r="V35" s="4"/>
      <c r="W35" s="4"/>
      <c r="X35" s="4"/>
      <c r="Y35" s="4"/>
      <c r="Z35" s="4"/>
      <c r="AA35" s="11"/>
      <c r="AB35" s="13" t="s">
        <v>624</v>
      </c>
    </row>
    <row r="36" spans="1:28" x14ac:dyDescent="0.35">
      <c r="A36" s="4">
        <v>29</v>
      </c>
      <c r="B36" s="4" t="s">
        <v>606</v>
      </c>
      <c r="C36" s="4" t="s">
        <v>607</v>
      </c>
      <c r="D36" s="4">
        <v>4797</v>
      </c>
      <c r="E36" s="4">
        <v>85</v>
      </c>
      <c r="F36" s="4">
        <v>86</v>
      </c>
      <c r="G36" s="4">
        <v>88</v>
      </c>
      <c r="H36" s="4">
        <v>86</v>
      </c>
      <c r="I36" s="4">
        <v>85</v>
      </c>
      <c r="J36" s="4">
        <v>86</v>
      </c>
      <c r="K36" s="4">
        <v>82</v>
      </c>
      <c r="L36" s="4">
        <v>84</v>
      </c>
      <c r="M36" s="4">
        <v>84</v>
      </c>
      <c r="N36" s="4">
        <v>83</v>
      </c>
      <c r="O36" s="5">
        <f t="shared" si="0"/>
        <v>84.9</v>
      </c>
      <c r="P36" s="4">
        <v>1</v>
      </c>
      <c r="Q36" s="4">
        <v>0</v>
      </c>
      <c r="R36" s="4">
        <v>0</v>
      </c>
      <c r="S36" s="13" t="s">
        <v>622</v>
      </c>
      <c r="T36" s="4" t="s">
        <v>71</v>
      </c>
      <c r="U36" s="4"/>
      <c r="V36" s="4"/>
      <c r="W36" s="4"/>
      <c r="X36" s="4"/>
      <c r="Y36" s="4"/>
      <c r="Z36" s="4"/>
      <c r="AA36" s="11"/>
      <c r="AB36" s="13" t="s">
        <v>624</v>
      </c>
    </row>
    <row r="37" spans="1:28" x14ac:dyDescent="0.35">
      <c r="A37" s="4">
        <v>30</v>
      </c>
      <c r="B37" s="4" t="s">
        <v>608</v>
      </c>
      <c r="C37" s="4" t="s">
        <v>609</v>
      </c>
      <c r="D37" s="4">
        <v>4799</v>
      </c>
      <c r="E37" s="4">
        <v>80</v>
      </c>
      <c r="F37" s="4">
        <v>80</v>
      </c>
      <c r="G37" s="4">
        <v>79</v>
      </c>
      <c r="H37" s="4">
        <v>78</v>
      </c>
      <c r="I37" s="4">
        <v>76</v>
      </c>
      <c r="J37" s="4">
        <v>85</v>
      </c>
      <c r="K37" s="4">
        <v>80</v>
      </c>
      <c r="L37" s="4">
        <v>79</v>
      </c>
      <c r="M37" s="4">
        <v>79</v>
      </c>
      <c r="N37" s="4">
        <v>79</v>
      </c>
      <c r="O37" s="5">
        <f t="shared" si="0"/>
        <v>79.5</v>
      </c>
      <c r="P37" s="4">
        <v>2</v>
      </c>
      <c r="Q37" s="4">
        <v>0</v>
      </c>
      <c r="R37" s="4">
        <v>1</v>
      </c>
      <c r="S37" s="13" t="s">
        <v>622</v>
      </c>
      <c r="T37" s="4" t="s">
        <v>71</v>
      </c>
      <c r="U37" s="4"/>
      <c r="V37" s="4"/>
      <c r="W37" s="4"/>
      <c r="X37" s="4"/>
      <c r="Y37" s="4"/>
      <c r="Z37" s="4"/>
      <c r="AA37" s="11"/>
      <c r="AB37" s="13" t="s">
        <v>624</v>
      </c>
    </row>
    <row r="38" spans="1:28" x14ac:dyDescent="0.35">
      <c r="A38" s="4">
        <v>31</v>
      </c>
      <c r="B38" s="4" t="s">
        <v>610</v>
      </c>
      <c r="C38" s="4" t="s">
        <v>611</v>
      </c>
      <c r="D38" s="4">
        <v>4811</v>
      </c>
      <c r="E38" s="4">
        <v>80</v>
      </c>
      <c r="F38" s="4">
        <v>80</v>
      </c>
      <c r="G38" s="4">
        <v>79</v>
      </c>
      <c r="H38" s="4">
        <v>80</v>
      </c>
      <c r="I38" s="4">
        <v>76</v>
      </c>
      <c r="J38" s="4">
        <v>83</v>
      </c>
      <c r="K38" s="4">
        <v>80</v>
      </c>
      <c r="L38" s="4">
        <v>79</v>
      </c>
      <c r="M38" s="4">
        <v>79</v>
      </c>
      <c r="N38" s="4">
        <v>78</v>
      </c>
      <c r="O38" s="5">
        <f t="shared" si="0"/>
        <v>79.400000000000006</v>
      </c>
      <c r="P38" s="4">
        <v>2</v>
      </c>
      <c r="Q38" s="4">
        <v>0</v>
      </c>
      <c r="R38" s="4">
        <v>0</v>
      </c>
      <c r="S38" s="13" t="s">
        <v>622</v>
      </c>
      <c r="T38" s="4" t="s">
        <v>71</v>
      </c>
      <c r="U38" s="4"/>
      <c r="V38" s="4"/>
      <c r="W38" s="4"/>
      <c r="X38" s="4"/>
      <c r="Y38" s="4"/>
      <c r="Z38" s="4"/>
      <c r="AA38" s="11"/>
      <c r="AB38" s="13" t="s">
        <v>624</v>
      </c>
    </row>
    <row r="39" spans="1:28" x14ac:dyDescent="0.35">
      <c r="A39" s="4">
        <v>32</v>
      </c>
      <c r="B39" s="4" t="s">
        <v>612</v>
      </c>
      <c r="C39" s="4" t="s">
        <v>613</v>
      </c>
      <c r="D39" s="4">
        <v>4815</v>
      </c>
      <c r="E39" s="4">
        <v>85</v>
      </c>
      <c r="F39" s="4">
        <v>84</v>
      </c>
      <c r="G39" s="4">
        <v>86</v>
      </c>
      <c r="H39" s="4">
        <v>84</v>
      </c>
      <c r="I39" s="4">
        <v>79</v>
      </c>
      <c r="J39" s="4">
        <v>86</v>
      </c>
      <c r="K39" s="4">
        <v>82</v>
      </c>
      <c r="L39" s="4">
        <v>80</v>
      </c>
      <c r="M39" s="4">
        <v>81</v>
      </c>
      <c r="N39" s="4">
        <v>80</v>
      </c>
      <c r="O39" s="5">
        <f t="shared" si="0"/>
        <v>82.7</v>
      </c>
      <c r="P39" s="4">
        <v>1</v>
      </c>
      <c r="Q39" s="4">
        <v>0</v>
      </c>
      <c r="R39" s="4">
        <v>1</v>
      </c>
      <c r="S39" s="13" t="s">
        <v>622</v>
      </c>
      <c r="T39" s="4" t="s">
        <v>60</v>
      </c>
      <c r="U39" s="4"/>
      <c r="V39" s="4"/>
      <c r="W39" s="4"/>
      <c r="X39" s="4"/>
      <c r="Y39" s="4"/>
      <c r="Z39" s="4"/>
      <c r="AA39" s="11"/>
      <c r="AB39" s="13" t="s">
        <v>624</v>
      </c>
    </row>
    <row r="40" spans="1:28" x14ac:dyDescent="0.35">
      <c r="A40" s="4">
        <v>33</v>
      </c>
      <c r="B40" s="4" t="s">
        <v>614</v>
      </c>
      <c r="C40" s="4" t="s">
        <v>615</v>
      </c>
      <c r="D40" s="4">
        <v>4828</v>
      </c>
      <c r="E40" s="4">
        <v>80</v>
      </c>
      <c r="F40" s="4">
        <v>81</v>
      </c>
      <c r="G40" s="4">
        <v>83</v>
      </c>
      <c r="H40" s="4">
        <v>84</v>
      </c>
      <c r="I40" s="4">
        <v>78</v>
      </c>
      <c r="J40" s="4">
        <v>86</v>
      </c>
      <c r="K40" s="4">
        <v>85</v>
      </c>
      <c r="L40" s="4">
        <v>80</v>
      </c>
      <c r="M40" s="4">
        <v>82</v>
      </c>
      <c r="N40" s="4">
        <v>81</v>
      </c>
      <c r="O40" s="5">
        <f t="shared" si="0"/>
        <v>82</v>
      </c>
      <c r="P40" s="4">
        <v>1</v>
      </c>
      <c r="Q40" s="4">
        <v>0</v>
      </c>
      <c r="R40" s="4">
        <v>0</v>
      </c>
      <c r="S40" s="13" t="s">
        <v>622</v>
      </c>
      <c r="T40" s="4" t="s">
        <v>71</v>
      </c>
      <c r="U40" s="4"/>
      <c r="V40" s="4"/>
      <c r="W40" s="4"/>
      <c r="X40" s="4"/>
      <c r="Y40" s="4"/>
      <c r="Z40" s="4"/>
      <c r="AA40" s="11"/>
      <c r="AB40" s="13" t="s">
        <v>624</v>
      </c>
    </row>
    <row r="41" spans="1:28" x14ac:dyDescent="0.35">
      <c r="A41" s="4">
        <v>34</v>
      </c>
      <c r="B41" s="4" t="s">
        <v>616</v>
      </c>
      <c r="C41" s="4" t="s">
        <v>617</v>
      </c>
      <c r="D41" s="4">
        <v>4837</v>
      </c>
      <c r="E41" s="4">
        <v>80</v>
      </c>
      <c r="F41" s="4">
        <v>84</v>
      </c>
      <c r="G41" s="4">
        <v>87</v>
      </c>
      <c r="H41" s="4">
        <v>84</v>
      </c>
      <c r="I41" s="4">
        <v>80</v>
      </c>
      <c r="J41" s="4">
        <v>84</v>
      </c>
      <c r="K41" s="4">
        <v>85</v>
      </c>
      <c r="L41" s="4">
        <v>83</v>
      </c>
      <c r="M41" s="4">
        <v>80</v>
      </c>
      <c r="N41" s="4">
        <v>83</v>
      </c>
      <c r="O41" s="5">
        <f t="shared" si="0"/>
        <v>83</v>
      </c>
      <c r="P41" s="4">
        <v>1</v>
      </c>
      <c r="Q41" s="4">
        <v>0</v>
      </c>
      <c r="R41" s="4">
        <v>1</v>
      </c>
      <c r="S41" s="13" t="s">
        <v>622</v>
      </c>
      <c r="T41" s="4" t="s">
        <v>71</v>
      </c>
      <c r="U41" s="4"/>
      <c r="V41" s="4"/>
      <c r="W41" s="4"/>
      <c r="X41" s="4"/>
      <c r="Y41" s="4"/>
      <c r="Z41" s="4"/>
      <c r="AA41" s="11"/>
      <c r="AB41" s="13" t="s">
        <v>624</v>
      </c>
    </row>
    <row r="42" spans="1:28" x14ac:dyDescent="0.35">
      <c r="A42" s="4">
        <v>35</v>
      </c>
      <c r="B42" s="4" t="s">
        <v>618</v>
      </c>
      <c r="C42" s="4" t="s">
        <v>619</v>
      </c>
      <c r="D42" s="4">
        <v>4845</v>
      </c>
      <c r="E42" s="4">
        <v>80</v>
      </c>
      <c r="F42" s="4">
        <v>85</v>
      </c>
      <c r="G42" s="4">
        <v>86</v>
      </c>
      <c r="H42" s="4">
        <v>86</v>
      </c>
      <c r="I42" s="4">
        <v>80</v>
      </c>
      <c r="J42" s="4">
        <v>85</v>
      </c>
      <c r="K42" s="4">
        <v>85</v>
      </c>
      <c r="L42" s="4">
        <v>84</v>
      </c>
      <c r="M42" s="4">
        <v>85</v>
      </c>
      <c r="N42" s="4">
        <v>81</v>
      </c>
      <c r="O42" s="5">
        <f t="shared" si="0"/>
        <v>83.7</v>
      </c>
      <c r="P42" s="4">
        <v>1</v>
      </c>
      <c r="Q42" s="4">
        <v>0</v>
      </c>
      <c r="R42" s="4">
        <v>0</v>
      </c>
      <c r="S42" s="13" t="s">
        <v>622</v>
      </c>
      <c r="T42" s="4" t="s">
        <v>71</v>
      </c>
      <c r="U42" s="4"/>
      <c r="V42" s="4"/>
      <c r="W42" s="4"/>
      <c r="X42" s="4"/>
      <c r="Y42" s="4"/>
      <c r="Z42" s="4"/>
      <c r="AA42" s="11"/>
      <c r="AB42" s="13" t="s">
        <v>624</v>
      </c>
    </row>
    <row r="43" spans="1:28" x14ac:dyDescent="0.35">
      <c r="A43" s="4">
        <v>36</v>
      </c>
      <c r="B43" s="4" t="s">
        <v>620</v>
      </c>
      <c r="C43" s="4" t="s">
        <v>621</v>
      </c>
      <c r="D43" s="4">
        <v>4853</v>
      </c>
      <c r="E43" s="4">
        <v>85</v>
      </c>
      <c r="F43" s="4">
        <v>84</v>
      </c>
      <c r="G43" s="4">
        <v>88</v>
      </c>
      <c r="H43" s="4">
        <v>85</v>
      </c>
      <c r="I43" s="4">
        <v>80</v>
      </c>
      <c r="J43" s="4">
        <v>84</v>
      </c>
      <c r="K43" s="4">
        <v>86</v>
      </c>
      <c r="L43" s="4">
        <v>84</v>
      </c>
      <c r="M43" s="4">
        <v>81</v>
      </c>
      <c r="N43" s="4">
        <v>83</v>
      </c>
      <c r="O43" s="5">
        <f t="shared" si="0"/>
        <v>84</v>
      </c>
      <c r="P43" s="4">
        <v>3</v>
      </c>
      <c r="Q43" s="4">
        <v>0</v>
      </c>
      <c r="R43" s="4">
        <v>1</v>
      </c>
      <c r="S43" s="13" t="s">
        <v>622</v>
      </c>
      <c r="T43" s="4" t="s">
        <v>71</v>
      </c>
      <c r="U43" s="4"/>
      <c r="V43" s="4"/>
      <c r="W43" s="4"/>
      <c r="X43" s="4"/>
      <c r="Y43" s="4"/>
      <c r="Z43" s="4"/>
      <c r="AA43" s="11"/>
      <c r="AB43" s="13" t="s">
        <v>624</v>
      </c>
    </row>
  </sheetData>
  <mergeCells count="27">
    <mergeCell ref="AB4:AB7"/>
    <mergeCell ref="T5:T7"/>
    <mergeCell ref="U5:U7"/>
    <mergeCell ref="V5:V7"/>
    <mergeCell ref="A4:A7"/>
    <mergeCell ref="B4:B7"/>
    <mergeCell ref="C4:C7"/>
    <mergeCell ref="D4:D7"/>
    <mergeCell ref="E4:O4"/>
    <mergeCell ref="N5:N7"/>
    <mergeCell ref="O5:O7"/>
    <mergeCell ref="W5:W7"/>
    <mergeCell ref="X5:X7"/>
    <mergeCell ref="Y5:Y7"/>
    <mergeCell ref="T4:AA4"/>
    <mergeCell ref="E5:E7"/>
    <mergeCell ref="F5:F7"/>
    <mergeCell ref="G5:G7"/>
    <mergeCell ref="H5:H7"/>
    <mergeCell ref="I5:I7"/>
    <mergeCell ref="J5:J7"/>
    <mergeCell ref="AA5:AA7"/>
    <mergeCell ref="K5:K7"/>
    <mergeCell ref="L5:L7"/>
    <mergeCell ref="M5:M7"/>
    <mergeCell ref="P4:R6"/>
    <mergeCell ref="Z5:Z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3"/>
  <sheetViews>
    <sheetView topLeftCell="A6" zoomScale="56" workbookViewId="0">
      <selection activeCell="U11" sqref="U11"/>
    </sheetView>
  </sheetViews>
  <sheetFormatPr defaultRowHeight="14.5" x14ac:dyDescent="0.35"/>
  <cols>
    <col min="1" max="1" width="4" customWidth="1"/>
    <col min="2" max="2" width="31.453125" bestFit="1" customWidth="1"/>
    <col min="3" max="3" width="11.81640625" customWidth="1"/>
    <col min="4" max="4" width="5" bestFit="1" customWidth="1"/>
    <col min="5" max="16" width="5" customWidth="1"/>
    <col min="17" max="17" width="5.81640625" customWidth="1"/>
    <col min="18" max="20" width="5" customWidth="1"/>
    <col min="21" max="21" width="12.81640625" customWidth="1"/>
    <col min="22" max="27" width="5" customWidth="1"/>
    <col min="28" max="28" width="11.26953125" customWidth="1"/>
  </cols>
  <sheetData>
    <row r="1" spans="1:28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8" x14ac:dyDescent="0.35">
      <c r="A3" s="2" t="s">
        <v>3</v>
      </c>
      <c r="B3" s="2"/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x14ac:dyDescent="0.3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 t="s">
        <v>10</v>
      </c>
      <c r="S4" s="15"/>
      <c r="T4" s="16"/>
      <c r="U4" s="7"/>
      <c r="V4" s="18" t="s">
        <v>11</v>
      </c>
      <c r="W4" s="15"/>
      <c r="X4" s="15"/>
      <c r="Y4" s="15"/>
      <c r="Z4" s="15"/>
      <c r="AA4" s="15"/>
      <c r="AB4" s="15" t="s">
        <v>629</v>
      </c>
    </row>
    <row r="5" spans="1:28" x14ac:dyDescent="0.35">
      <c r="A5" s="15"/>
      <c r="B5" s="15"/>
      <c r="C5" s="15"/>
      <c r="D5" s="15"/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  <c r="M5" s="15" t="s">
        <v>20</v>
      </c>
      <c r="N5" s="15" t="s">
        <v>21</v>
      </c>
      <c r="O5" s="15" t="s">
        <v>22</v>
      </c>
      <c r="P5" s="15" t="s">
        <v>22</v>
      </c>
      <c r="Q5" s="15" t="s">
        <v>106</v>
      </c>
      <c r="R5" s="15"/>
      <c r="S5" s="15"/>
      <c r="T5" s="16"/>
      <c r="U5" s="8" t="s">
        <v>548</v>
      </c>
      <c r="V5" s="18" t="s">
        <v>23</v>
      </c>
      <c r="W5" s="15" t="s">
        <v>24</v>
      </c>
      <c r="X5" s="15" t="s">
        <v>25</v>
      </c>
      <c r="Y5" s="15" t="s">
        <v>26</v>
      </c>
      <c r="Z5" s="15" t="s">
        <v>27</v>
      </c>
      <c r="AA5" s="15" t="s">
        <v>28</v>
      </c>
      <c r="AB5" s="15"/>
    </row>
    <row r="6" spans="1:28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6"/>
      <c r="U6" s="8"/>
      <c r="V6" s="18"/>
      <c r="W6" s="15"/>
      <c r="X6" s="15"/>
      <c r="Y6" s="15"/>
      <c r="Z6" s="15"/>
      <c r="AA6" s="15"/>
      <c r="AB6" s="15"/>
    </row>
    <row r="7" spans="1:28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" t="s">
        <v>29</v>
      </c>
      <c r="S7" s="3" t="s">
        <v>30</v>
      </c>
      <c r="T7" s="6" t="s">
        <v>31</v>
      </c>
      <c r="U7" s="9"/>
      <c r="V7" s="18"/>
      <c r="W7" s="15"/>
      <c r="X7" s="15"/>
      <c r="Y7" s="15"/>
      <c r="Z7" s="15"/>
      <c r="AA7" s="15"/>
      <c r="AB7" s="17"/>
    </row>
    <row r="8" spans="1:28" x14ac:dyDescent="0.35">
      <c r="A8" s="4">
        <v>1</v>
      </c>
      <c r="B8" s="4" t="s">
        <v>32</v>
      </c>
      <c r="C8" s="4" t="s">
        <v>33</v>
      </c>
      <c r="D8" s="4">
        <v>4585</v>
      </c>
      <c r="E8" s="4">
        <v>80</v>
      </c>
      <c r="F8" s="4"/>
      <c r="G8" s="4">
        <v>83</v>
      </c>
      <c r="H8" s="4">
        <v>83</v>
      </c>
      <c r="I8" s="4">
        <v>78</v>
      </c>
      <c r="J8" s="4">
        <v>77</v>
      </c>
      <c r="K8" s="4">
        <v>84</v>
      </c>
      <c r="L8" s="4">
        <v>80</v>
      </c>
      <c r="M8" s="4">
        <v>80</v>
      </c>
      <c r="N8" s="4">
        <v>79</v>
      </c>
      <c r="O8" s="4">
        <v>81</v>
      </c>
      <c r="P8" s="4">
        <v>81</v>
      </c>
      <c r="Q8" s="5">
        <f>AVERAGE(E8:P8)</f>
        <v>80.545454545454547</v>
      </c>
      <c r="R8" s="4">
        <v>0</v>
      </c>
      <c r="S8" s="4">
        <v>0</v>
      </c>
      <c r="T8" s="4">
        <v>0</v>
      </c>
      <c r="U8" s="13" t="s">
        <v>623</v>
      </c>
      <c r="V8" s="4" t="s">
        <v>71</v>
      </c>
      <c r="W8" s="4"/>
      <c r="X8" s="4"/>
      <c r="Y8" s="4"/>
      <c r="Z8" s="4"/>
      <c r="AA8" s="11"/>
      <c r="AB8" s="13" t="s">
        <v>624</v>
      </c>
    </row>
    <row r="9" spans="1:28" x14ac:dyDescent="0.35">
      <c r="A9" s="4">
        <v>2</v>
      </c>
      <c r="B9" s="4" t="s">
        <v>34</v>
      </c>
      <c r="C9" s="4" t="s">
        <v>35</v>
      </c>
      <c r="D9" s="4">
        <v>4601</v>
      </c>
      <c r="E9" s="4">
        <v>80</v>
      </c>
      <c r="F9" s="4"/>
      <c r="G9" s="4">
        <v>86</v>
      </c>
      <c r="H9" s="4">
        <v>78</v>
      </c>
      <c r="I9" s="4">
        <v>85</v>
      </c>
      <c r="J9" s="4">
        <v>82</v>
      </c>
      <c r="K9" s="4">
        <v>85</v>
      </c>
      <c r="L9" s="4">
        <v>85</v>
      </c>
      <c r="M9" s="4">
        <v>83</v>
      </c>
      <c r="N9" s="4">
        <v>83</v>
      </c>
      <c r="O9" s="4">
        <v>81</v>
      </c>
      <c r="P9" s="4">
        <v>81</v>
      </c>
      <c r="Q9" s="5">
        <f t="shared" ref="Q9:Q43" si="0">AVERAGE(E9:P9)</f>
        <v>82.63636363636364</v>
      </c>
      <c r="R9" s="4">
        <v>1</v>
      </c>
      <c r="S9" s="4">
        <v>0</v>
      </c>
      <c r="T9" s="4">
        <v>0</v>
      </c>
      <c r="U9" s="13" t="s">
        <v>622</v>
      </c>
      <c r="V9" s="4" t="s">
        <v>71</v>
      </c>
      <c r="W9" s="4"/>
      <c r="X9" s="4"/>
      <c r="Y9" s="4"/>
      <c r="Z9" s="4"/>
      <c r="AA9" s="11"/>
      <c r="AB9" s="13" t="s">
        <v>624</v>
      </c>
    </row>
    <row r="10" spans="1:28" x14ac:dyDescent="0.35">
      <c r="A10" s="4">
        <v>3</v>
      </c>
      <c r="B10" s="4" t="s">
        <v>36</v>
      </c>
      <c r="C10" s="4" t="s">
        <v>37</v>
      </c>
      <c r="D10" s="4">
        <v>4602</v>
      </c>
      <c r="E10" s="4">
        <v>78</v>
      </c>
      <c r="F10" s="4"/>
      <c r="G10" s="4">
        <v>82</v>
      </c>
      <c r="H10" s="4">
        <v>79</v>
      </c>
      <c r="I10" s="4">
        <v>78</v>
      </c>
      <c r="J10" s="4">
        <v>77</v>
      </c>
      <c r="K10" s="4">
        <v>85</v>
      </c>
      <c r="L10" s="4">
        <v>80</v>
      </c>
      <c r="M10" s="4">
        <v>81</v>
      </c>
      <c r="N10" s="4">
        <v>79</v>
      </c>
      <c r="O10" s="4">
        <v>75</v>
      </c>
      <c r="P10" s="4">
        <v>75</v>
      </c>
      <c r="Q10" s="5">
        <f t="shared" si="0"/>
        <v>79</v>
      </c>
      <c r="R10" s="4">
        <v>0</v>
      </c>
      <c r="S10" s="4">
        <v>0</v>
      </c>
      <c r="T10" s="4">
        <v>0</v>
      </c>
      <c r="U10" s="13" t="s">
        <v>622</v>
      </c>
      <c r="V10" s="4" t="s">
        <v>71</v>
      </c>
      <c r="W10" s="4"/>
      <c r="X10" s="4"/>
      <c r="Y10" s="4"/>
      <c r="Z10" s="4"/>
      <c r="AA10" s="11"/>
      <c r="AB10" s="13" t="s">
        <v>624</v>
      </c>
    </row>
    <row r="11" spans="1:28" x14ac:dyDescent="0.35">
      <c r="A11" s="4">
        <v>4</v>
      </c>
      <c r="B11" s="4" t="s">
        <v>38</v>
      </c>
      <c r="C11" s="4" t="s">
        <v>39</v>
      </c>
      <c r="D11" s="4">
        <v>4603</v>
      </c>
      <c r="E11" s="4">
        <v>76</v>
      </c>
      <c r="F11" s="4"/>
      <c r="G11" s="4">
        <v>75</v>
      </c>
      <c r="H11" s="4">
        <v>79</v>
      </c>
      <c r="I11" s="4">
        <v>78</v>
      </c>
      <c r="J11" s="4">
        <v>76</v>
      </c>
      <c r="K11" s="4">
        <v>78</v>
      </c>
      <c r="L11" s="4">
        <v>78</v>
      </c>
      <c r="M11" s="4">
        <v>79</v>
      </c>
      <c r="N11" s="4">
        <v>79</v>
      </c>
      <c r="O11" s="4">
        <v>73</v>
      </c>
      <c r="P11" s="4">
        <v>73</v>
      </c>
      <c r="Q11" s="5">
        <f t="shared" si="0"/>
        <v>76.727272727272734</v>
      </c>
      <c r="R11" s="4">
        <v>1</v>
      </c>
      <c r="S11" s="4">
        <v>0</v>
      </c>
      <c r="T11" s="4">
        <v>35</v>
      </c>
      <c r="U11" s="19" t="s">
        <v>635</v>
      </c>
      <c r="V11" s="4" t="s">
        <v>71</v>
      </c>
      <c r="W11" s="4"/>
      <c r="X11" s="4"/>
      <c r="Y11" s="4"/>
      <c r="Z11" s="4"/>
      <c r="AA11" s="11"/>
      <c r="AB11" s="13" t="s">
        <v>624</v>
      </c>
    </row>
    <row r="12" spans="1:28" x14ac:dyDescent="0.35">
      <c r="A12" s="4">
        <v>5</v>
      </c>
      <c r="B12" s="4" t="s">
        <v>40</v>
      </c>
      <c r="C12" s="4" t="s">
        <v>41</v>
      </c>
      <c r="D12" s="4">
        <v>4613</v>
      </c>
      <c r="E12" s="4">
        <v>88</v>
      </c>
      <c r="F12" s="4"/>
      <c r="G12" s="4">
        <v>87</v>
      </c>
      <c r="H12" s="4">
        <v>88</v>
      </c>
      <c r="I12" s="4">
        <v>87</v>
      </c>
      <c r="J12" s="4">
        <v>87</v>
      </c>
      <c r="K12" s="4">
        <v>86</v>
      </c>
      <c r="L12" s="4">
        <v>88</v>
      </c>
      <c r="M12" s="4">
        <v>86</v>
      </c>
      <c r="N12" s="4">
        <v>87</v>
      </c>
      <c r="O12" s="4">
        <v>88</v>
      </c>
      <c r="P12" s="4">
        <v>88</v>
      </c>
      <c r="Q12" s="5">
        <f t="shared" si="0"/>
        <v>87.272727272727266</v>
      </c>
      <c r="R12" s="4">
        <v>0</v>
      </c>
      <c r="S12" s="4">
        <v>0</v>
      </c>
      <c r="T12" s="4">
        <v>0</v>
      </c>
      <c r="U12" s="13" t="s">
        <v>623</v>
      </c>
      <c r="V12" s="4" t="s">
        <v>71</v>
      </c>
      <c r="W12" s="4"/>
      <c r="X12" s="4"/>
      <c r="Y12" s="4"/>
      <c r="Z12" s="4"/>
      <c r="AA12" s="11"/>
      <c r="AB12" s="13" t="s">
        <v>626</v>
      </c>
    </row>
    <row r="13" spans="1:28" x14ac:dyDescent="0.35">
      <c r="A13" s="4">
        <v>6</v>
      </c>
      <c r="B13" s="4" t="s">
        <v>42</v>
      </c>
      <c r="C13" s="4" t="s">
        <v>43</v>
      </c>
      <c r="D13" s="4">
        <v>4619</v>
      </c>
      <c r="E13" s="4">
        <v>80</v>
      </c>
      <c r="F13" s="4"/>
      <c r="G13" s="4">
        <v>80</v>
      </c>
      <c r="H13" s="4">
        <v>83</v>
      </c>
      <c r="I13" s="4">
        <v>80</v>
      </c>
      <c r="J13" s="4">
        <v>80</v>
      </c>
      <c r="K13" s="4">
        <v>85</v>
      </c>
      <c r="L13" s="4">
        <v>80</v>
      </c>
      <c r="M13" s="4">
        <v>79</v>
      </c>
      <c r="N13" s="4">
        <v>79</v>
      </c>
      <c r="O13" s="4">
        <v>80</v>
      </c>
      <c r="P13" s="4">
        <v>80</v>
      </c>
      <c r="Q13" s="5">
        <f t="shared" si="0"/>
        <v>80.545454545454547</v>
      </c>
      <c r="R13" s="4">
        <v>0</v>
      </c>
      <c r="S13" s="4">
        <v>0</v>
      </c>
      <c r="T13" s="4">
        <v>0</v>
      </c>
      <c r="U13" s="13" t="s">
        <v>623</v>
      </c>
      <c r="V13" s="4" t="s">
        <v>71</v>
      </c>
      <c r="W13" s="4"/>
      <c r="X13" s="4"/>
      <c r="Y13" s="4"/>
      <c r="Z13" s="4"/>
      <c r="AA13" s="11"/>
      <c r="AB13" s="13" t="s">
        <v>624</v>
      </c>
    </row>
    <row r="14" spans="1:28" x14ac:dyDescent="0.35">
      <c r="A14" s="4">
        <v>7</v>
      </c>
      <c r="B14" s="4" t="s">
        <v>44</v>
      </c>
      <c r="C14" s="4" t="s">
        <v>45</v>
      </c>
      <c r="D14" s="4">
        <v>4630</v>
      </c>
      <c r="E14" s="4">
        <v>85</v>
      </c>
      <c r="F14" s="4"/>
      <c r="G14" s="4">
        <v>83</v>
      </c>
      <c r="H14" s="4">
        <v>86</v>
      </c>
      <c r="I14" s="4">
        <v>87</v>
      </c>
      <c r="J14" s="4">
        <v>83</v>
      </c>
      <c r="K14" s="4">
        <v>86</v>
      </c>
      <c r="L14" s="4">
        <v>82</v>
      </c>
      <c r="M14" s="4">
        <v>82</v>
      </c>
      <c r="N14" s="4">
        <v>81</v>
      </c>
      <c r="O14" s="4">
        <v>82</v>
      </c>
      <c r="P14" s="4">
        <v>82</v>
      </c>
      <c r="Q14" s="5">
        <f t="shared" si="0"/>
        <v>83.545454545454547</v>
      </c>
      <c r="R14" s="4">
        <v>0</v>
      </c>
      <c r="S14" s="4">
        <v>0</v>
      </c>
      <c r="T14" s="4">
        <v>0</v>
      </c>
      <c r="U14" s="13" t="s">
        <v>623</v>
      </c>
      <c r="V14" s="4" t="s">
        <v>71</v>
      </c>
      <c r="W14" s="4"/>
      <c r="X14" s="4"/>
      <c r="Y14" s="4"/>
      <c r="Z14" s="4"/>
      <c r="AA14" s="11"/>
      <c r="AB14" s="13" t="s">
        <v>624</v>
      </c>
    </row>
    <row r="15" spans="1:28" x14ac:dyDescent="0.35">
      <c r="A15" s="4">
        <v>8</v>
      </c>
      <c r="B15" s="4" t="s">
        <v>46</v>
      </c>
      <c r="C15" s="4" t="s">
        <v>47</v>
      </c>
      <c r="D15" s="4">
        <v>4638</v>
      </c>
      <c r="E15" s="4">
        <v>80</v>
      </c>
      <c r="F15" s="4"/>
      <c r="G15" s="4">
        <v>84</v>
      </c>
      <c r="H15" s="4">
        <v>85</v>
      </c>
      <c r="I15" s="4">
        <v>82</v>
      </c>
      <c r="J15" s="4">
        <v>83</v>
      </c>
      <c r="K15" s="4">
        <v>86</v>
      </c>
      <c r="L15" s="4">
        <v>82</v>
      </c>
      <c r="M15" s="4">
        <v>80</v>
      </c>
      <c r="N15" s="4">
        <v>81</v>
      </c>
      <c r="O15" s="4">
        <v>80</v>
      </c>
      <c r="P15" s="4">
        <v>80</v>
      </c>
      <c r="Q15" s="5">
        <f t="shared" si="0"/>
        <v>82.090909090909093</v>
      </c>
      <c r="R15" s="4">
        <v>0</v>
      </c>
      <c r="S15" s="4">
        <v>0</v>
      </c>
      <c r="T15" s="4">
        <v>0</v>
      </c>
      <c r="U15" s="13" t="s">
        <v>623</v>
      </c>
      <c r="V15" s="4" t="s">
        <v>71</v>
      </c>
      <c r="W15" s="4"/>
      <c r="X15" s="4"/>
      <c r="Y15" s="4"/>
      <c r="Z15" s="4"/>
      <c r="AA15" s="11"/>
      <c r="AB15" s="13" t="s">
        <v>624</v>
      </c>
    </row>
    <row r="16" spans="1:28" x14ac:dyDescent="0.35">
      <c r="A16" s="4">
        <v>9</v>
      </c>
      <c r="B16" s="4" t="s">
        <v>48</v>
      </c>
      <c r="C16" s="4" t="s">
        <v>49</v>
      </c>
      <c r="D16" s="4">
        <v>4644</v>
      </c>
      <c r="E16" s="4">
        <v>82</v>
      </c>
      <c r="F16" s="4"/>
      <c r="G16" s="4">
        <v>86</v>
      </c>
      <c r="H16" s="4">
        <v>83</v>
      </c>
      <c r="I16" s="4">
        <v>86</v>
      </c>
      <c r="J16" s="4">
        <v>83</v>
      </c>
      <c r="K16" s="4">
        <v>86</v>
      </c>
      <c r="L16" s="4">
        <v>82</v>
      </c>
      <c r="M16" s="4">
        <v>80</v>
      </c>
      <c r="N16" s="4">
        <v>81</v>
      </c>
      <c r="O16" s="4">
        <v>81</v>
      </c>
      <c r="P16" s="4">
        <v>81</v>
      </c>
      <c r="Q16" s="5">
        <f t="shared" si="0"/>
        <v>82.818181818181813</v>
      </c>
      <c r="R16" s="4">
        <v>2</v>
      </c>
      <c r="S16" s="4">
        <v>0</v>
      </c>
      <c r="T16" s="4">
        <v>0</v>
      </c>
      <c r="U16" s="13" t="s">
        <v>622</v>
      </c>
      <c r="V16" s="4" t="s">
        <v>71</v>
      </c>
      <c r="W16" s="4"/>
      <c r="X16" s="4"/>
      <c r="Y16" s="4"/>
      <c r="Z16" s="4"/>
      <c r="AA16" s="11"/>
      <c r="AB16" s="13" t="s">
        <v>624</v>
      </c>
    </row>
    <row r="17" spans="1:28" x14ac:dyDescent="0.35">
      <c r="A17" s="4">
        <v>10</v>
      </c>
      <c r="B17" s="4" t="s">
        <v>50</v>
      </c>
      <c r="C17" s="4" t="s">
        <v>51</v>
      </c>
      <c r="D17" s="4">
        <v>4653</v>
      </c>
      <c r="E17" s="4">
        <v>84</v>
      </c>
      <c r="F17" s="4"/>
      <c r="G17" s="4">
        <v>81</v>
      </c>
      <c r="H17" s="4">
        <v>84</v>
      </c>
      <c r="I17" s="4">
        <v>84</v>
      </c>
      <c r="J17" s="4">
        <v>78</v>
      </c>
      <c r="K17" s="4">
        <v>85</v>
      </c>
      <c r="L17" s="4">
        <v>82</v>
      </c>
      <c r="M17" s="4">
        <v>83</v>
      </c>
      <c r="N17" s="4">
        <v>79</v>
      </c>
      <c r="O17" s="4">
        <v>78</v>
      </c>
      <c r="P17" s="4">
        <v>78</v>
      </c>
      <c r="Q17" s="5">
        <f t="shared" si="0"/>
        <v>81.454545454545453</v>
      </c>
      <c r="R17" s="4">
        <v>2</v>
      </c>
      <c r="S17" s="4">
        <v>0</v>
      </c>
      <c r="T17" s="4">
        <v>3</v>
      </c>
      <c r="U17" s="13" t="s">
        <v>622</v>
      </c>
      <c r="V17" s="4" t="s">
        <v>71</v>
      </c>
      <c r="W17" s="4"/>
      <c r="X17" s="4"/>
      <c r="Y17" s="4"/>
      <c r="Z17" s="4"/>
      <c r="AA17" s="11"/>
      <c r="AB17" s="13" t="s">
        <v>624</v>
      </c>
    </row>
    <row r="18" spans="1:28" x14ac:dyDescent="0.35">
      <c r="A18" s="4">
        <v>11</v>
      </c>
      <c r="B18" s="4" t="s">
        <v>52</v>
      </c>
      <c r="C18" s="4" t="s">
        <v>53</v>
      </c>
      <c r="D18" s="4">
        <v>4661</v>
      </c>
      <c r="E18" s="4">
        <v>78</v>
      </c>
      <c r="F18" s="4"/>
      <c r="G18" s="4">
        <v>81</v>
      </c>
      <c r="H18" s="4">
        <v>83</v>
      </c>
      <c r="I18" s="4">
        <v>83</v>
      </c>
      <c r="J18" s="4">
        <v>77</v>
      </c>
      <c r="K18" s="4">
        <v>83</v>
      </c>
      <c r="L18" s="4">
        <v>80</v>
      </c>
      <c r="M18" s="4">
        <v>83</v>
      </c>
      <c r="N18" s="4">
        <v>79</v>
      </c>
      <c r="O18" s="4">
        <v>80</v>
      </c>
      <c r="P18" s="4">
        <v>80</v>
      </c>
      <c r="Q18" s="5">
        <f t="shared" si="0"/>
        <v>80.63636363636364</v>
      </c>
      <c r="R18" s="4">
        <v>3</v>
      </c>
      <c r="S18" s="4">
        <v>0</v>
      </c>
      <c r="T18" s="4">
        <v>0</v>
      </c>
      <c r="U18" s="13" t="s">
        <v>622</v>
      </c>
      <c r="V18" s="4" t="s">
        <v>71</v>
      </c>
      <c r="W18" s="4"/>
      <c r="X18" s="4"/>
      <c r="Y18" s="4"/>
      <c r="Z18" s="4"/>
      <c r="AA18" s="11"/>
      <c r="AB18" s="13" t="s">
        <v>624</v>
      </c>
    </row>
    <row r="19" spans="1:28" x14ac:dyDescent="0.35">
      <c r="A19" s="4">
        <v>12</v>
      </c>
      <c r="B19" s="4" t="s">
        <v>54</v>
      </c>
      <c r="C19" s="4" t="s">
        <v>55</v>
      </c>
      <c r="D19" s="4">
        <v>4672</v>
      </c>
      <c r="E19" s="4">
        <v>78</v>
      </c>
      <c r="F19" s="4"/>
      <c r="G19" s="4">
        <v>80</v>
      </c>
      <c r="H19" s="4">
        <v>85</v>
      </c>
      <c r="I19" s="4">
        <v>80</v>
      </c>
      <c r="J19" s="4">
        <v>77</v>
      </c>
      <c r="K19" s="4">
        <v>84</v>
      </c>
      <c r="L19" s="4">
        <v>80</v>
      </c>
      <c r="M19" s="4">
        <v>80</v>
      </c>
      <c r="N19" s="4">
        <v>79</v>
      </c>
      <c r="O19" s="4">
        <v>75</v>
      </c>
      <c r="P19" s="4">
        <v>75</v>
      </c>
      <c r="Q19" s="5">
        <f t="shared" si="0"/>
        <v>79.36363636363636</v>
      </c>
      <c r="R19" s="4">
        <v>2</v>
      </c>
      <c r="S19" s="4">
        <v>0</v>
      </c>
      <c r="T19" s="4">
        <v>1</v>
      </c>
      <c r="U19" s="13" t="s">
        <v>622</v>
      </c>
      <c r="V19" s="4" t="s">
        <v>71</v>
      </c>
      <c r="W19" s="4"/>
      <c r="X19" s="4"/>
      <c r="Y19" s="4"/>
      <c r="Z19" s="4"/>
      <c r="AA19" s="11"/>
      <c r="AB19" s="13" t="s">
        <v>624</v>
      </c>
    </row>
    <row r="20" spans="1:28" x14ac:dyDescent="0.35">
      <c r="A20" s="4">
        <v>13</v>
      </c>
      <c r="B20" s="4" t="s">
        <v>56</v>
      </c>
      <c r="C20" s="4" t="s">
        <v>57</v>
      </c>
      <c r="D20" s="4">
        <v>4673</v>
      </c>
      <c r="E20" s="4">
        <v>85</v>
      </c>
      <c r="F20" s="4"/>
      <c r="G20" s="4">
        <v>85</v>
      </c>
      <c r="H20" s="4">
        <v>85</v>
      </c>
      <c r="I20" s="4">
        <v>87</v>
      </c>
      <c r="J20" s="4">
        <v>80</v>
      </c>
      <c r="K20" s="4">
        <v>84</v>
      </c>
      <c r="L20" s="4">
        <v>82</v>
      </c>
      <c r="M20" s="4">
        <v>85</v>
      </c>
      <c r="N20" s="4">
        <v>81</v>
      </c>
      <c r="O20" s="4">
        <v>82</v>
      </c>
      <c r="P20" s="4">
        <v>82</v>
      </c>
      <c r="Q20" s="5">
        <f t="shared" si="0"/>
        <v>83.454545454545453</v>
      </c>
      <c r="R20" s="4">
        <v>0</v>
      </c>
      <c r="S20" s="4">
        <v>0</v>
      </c>
      <c r="T20" s="4">
        <v>1</v>
      </c>
      <c r="U20" s="13" t="s">
        <v>622</v>
      </c>
      <c r="V20" s="4" t="s">
        <v>71</v>
      </c>
      <c r="W20" s="4"/>
      <c r="X20" s="4"/>
      <c r="Y20" s="4"/>
      <c r="Z20" s="4"/>
      <c r="AA20" s="11"/>
      <c r="AB20" s="13" t="s">
        <v>624</v>
      </c>
    </row>
    <row r="21" spans="1:28" x14ac:dyDescent="0.35">
      <c r="A21" s="4">
        <v>14</v>
      </c>
      <c r="B21" s="4" t="s">
        <v>58</v>
      </c>
      <c r="C21" s="4" t="s">
        <v>59</v>
      </c>
      <c r="D21" s="4">
        <v>4687</v>
      </c>
      <c r="E21" s="4">
        <v>86</v>
      </c>
      <c r="F21" s="4"/>
      <c r="G21" s="4">
        <v>86</v>
      </c>
      <c r="H21" s="4">
        <v>86</v>
      </c>
      <c r="I21" s="4">
        <v>86</v>
      </c>
      <c r="J21" s="4">
        <v>83</v>
      </c>
      <c r="K21" s="4">
        <v>86</v>
      </c>
      <c r="L21" s="4">
        <v>82</v>
      </c>
      <c r="M21" s="4">
        <v>84</v>
      </c>
      <c r="N21" s="4">
        <v>82</v>
      </c>
      <c r="O21" s="4">
        <v>82</v>
      </c>
      <c r="P21" s="4">
        <v>82</v>
      </c>
      <c r="Q21" s="5">
        <f t="shared" si="0"/>
        <v>84.090909090909093</v>
      </c>
      <c r="R21" s="4">
        <v>0</v>
      </c>
      <c r="S21" s="4">
        <v>0</v>
      </c>
      <c r="T21" s="4">
        <v>0</v>
      </c>
      <c r="U21" s="13" t="s">
        <v>623</v>
      </c>
      <c r="V21" s="4" t="s">
        <v>60</v>
      </c>
      <c r="W21" s="4"/>
      <c r="X21" s="4"/>
      <c r="Y21" s="4"/>
      <c r="Z21" s="4"/>
      <c r="AA21" s="11"/>
      <c r="AB21" s="13" t="s">
        <v>624</v>
      </c>
    </row>
    <row r="22" spans="1:28" x14ac:dyDescent="0.35">
      <c r="A22" s="4">
        <v>15</v>
      </c>
      <c r="B22" s="4" t="s">
        <v>61</v>
      </c>
      <c r="C22" s="4" t="s">
        <v>62</v>
      </c>
      <c r="D22" s="4">
        <v>4902</v>
      </c>
      <c r="E22" s="4">
        <v>80</v>
      </c>
      <c r="F22" s="4"/>
      <c r="G22" s="4">
        <v>83</v>
      </c>
      <c r="H22" s="4">
        <v>83</v>
      </c>
      <c r="I22" s="4">
        <v>84</v>
      </c>
      <c r="J22" s="4">
        <v>83</v>
      </c>
      <c r="K22" s="4">
        <v>85</v>
      </c>
      <c r="L22" s="4">
        <v>80</v>
      </c>
      <c r="M22" s="4">
        <v>79</v>
      </c>
      <c r="N22" s="4">
        <v>82</v>
      </c>
      <c r="O22" s="4">
        <v>82</v>
      </c>
      <c r="P22" s="4">
        <v>82</v>
      </c>
      <c r="Q22" s="5">
        <f t="shared" si="0"/>
        <v>82.090909090909093</v>
      </c>
      <c r="R22" s="4">
        <v>0</v>
      </c>
      <c r="S22" s="4">
        <v>1</v>
      </c>
      <c r="T22" s="4">
        <v>1</v>
      </c>
      <c r="U22" s="13" t="s">
        <v>622</v>
      </c>
      <c r="V22" s="4" t="s">
        <v>71</v>
      </c>
      <c r="W22" s="4"/>
      <c r="X22" s="4"/>
      <c r="Y22" s="4"/>
      <c r="Z22" s="4"/>
      <c r="AA22" s="11"/>
      <c r="AB22" s="13" t="s">
        <v>624</v>
      </c>
    </row>
    <row r="23" spans="1:28" x14ac:dyDescent="0.35">
      <c r="A23" s="4">
        <v>16</v>
      </c>
      <c r="B23" s="4" t="s">
        <v>63</v>
      </c>
      <c r="C23" s="4" t="s">
        <v>64</v>
      </c>
      <c r="D23" s="4">
        <v>4696</v>
      </c>
      <c r="E23" s="4"/>
      <c r="F23" s="4">
        <v>85</v>
      </c>
      <c r="G23" s="4">
        <v>80</v>
      </c>
      <c r="H23" s="4">
        <v>83</v>
      </c>
      <c r="I23" s="4">
        <v>82</v>
      </c>
      <c r="J23" s="4">
        <v>78</v>
      </c>
      <c r="K23" s="4">
        <v>83</v>
      </c>
      <c r="L23" s="4">
        <v>82</v>
      </c>
      <c r="M23" s="4">
        <v>82</v>
      </c>
      <c r="N23" s="4">
        <v>79</v>
      </c>
      <c r="O23" s="4">
        <v>79</v>
      </c>
      <c r="P23" s="4">
        <v>79</v>
      </c>
      <c r="Q23" s="5">
        <f t="shared" si="0"/>
        <v>81.090909090909093</v>
      </c>
      <c r="R23" s="4">
        <v>0</v>
      </c>
      <c r="S23" s="4">
        <v>2</v>
      </c>
      <c r="T23" s="4">
        <v>1</v>
      </c>
      <c r="U23" s="13" t="s">
        <v>622</v>
      </c>
      <c r="V23" s="4" t="s">
        <v>71</v>
      </c>
      <c r="W23" s="4"/>
      <c r="X23" s="4"/>
      <c r="Y23" s="4"/>
      <c r="Z23" s="4"/>
      <c r="AA23" s="11"/>
      <c r="AB23" s="13" t="s">
        <v>624</v>
      </c>
    </row>
    <row r="24" spans="1:28" x14ac:dyDescent="0.35">
      <c r="A24" s="4">
        <v>17</v>
      </c>
      <c r="B24" s="4" t="s">
        <v>65</v>
      </c>
      <c r="C24" s="4" t="s">
        <v>66</v>
      </c>
      <c r="D24" s="4">
        <v>4707</v>
      </c>
      <c r="E24" s="4">
        <v>80</v>
      </c>
      <c r="F24" s="4"/>
      <c r="G24" s="4">
        <v>78</v>
      </c>
      <c r="H24" s="4">
        <v>83</v>
      </c>
      <c r="I24" s="4">
        <v>83</v>
      </c>
      <c r="J24" s="4">
        <v>77</v>
      </c>
      <c r="K24" s="4">
        <v>85</v>
      </c>
      <c r="L24" s="4">
        <v>82</v>
      </c>
      <c r="M24" s="4">
        <v>80</v>
      </c>
      <c r="N24" s="4">
        <v>79</v>
      </c>
      <c r="O24" s="4">
        <v>79</v>
      </c>
      <c r="P24" s="4">
        <v>79</v>
      </c>
      <c r="Q24" s="5">
        <f t="shared" si="0"/>
        <v>80.454545454545453</v>
      </c>
      <c r="R24" s="4">
        <v>0</v>
      </c>
      <c r="S24" s="4">
        <v>0</v>
      </c>
      <c r="T24" s="4">
        <v>0</v>
      </c>
      <c r="U24" s="13" t="s">
        <v>623</v>
      </c>
      <c r="V24" s="4" t="s">
        <v>71</v>
      </c>
      <c r="W24" s="4"/>
      <c r="X24" s="4"/>
      <c r="Y24" s="4"/>
      <c r="Z24" s="4"/>
      <c r="AA24" s="11"/>
      <c r="AB24" s="13" t="s">
        <v>624</v>
      </c>
    </row>
    <row r="25" spans="1:28" x14ac:dyDescent="0.35">
      <c r="A25" s="4">
        <v>18</v>
      </c>
      <c r="B25" s="4" t="s">
        <v>67</v>
      </c>
      <c r="C25" s="4" t="s">
        <v>68</v>
      </c>
      <c r="D25" s="4">
        <v>4721</v>
      </c>
      <c r="E25" s="4">
        <v>78</v>
      </c>
      <c r="F25" s="4"/>
      <c r="G25" s="4">
        <v>79</v>
      </c>
      <c r="H25" s="4">
        <v>83</v>
      </c>
      <c r="I25" s="4">
        <v>80</v>
      </c>
      <c r="J25" s="4">
        <v>80</v>
      </c>
      <c r="K25" s="4">
        <v>84</v>
      </c>
      <c r="L25" s="4">
        <v>82</v>
      </c>
      <c r="M25" s="4">
        <v>80</v>
      </c>
      <c r="N25" s="4">
        <v>79</v>
      </c>
      <c r="O25" s="4">
        <v>80</v>
      </c>
      <c r="P25" s="4">
        <v>80</v>
      </c>
      <c r="Q25" s="5">
        <f t="shared" si="0"/>
        <v>80.454545454545453</v>
      </c>
      <c r="R25" s="4">
        <v>0</v>
      </c>
      <c r="S25" s="4">
        <v>0</v>
      </c>
      <c r="T25" s="4">
        <v>1</v>
      </c>
      <c r="U25" s="13" t="s">
        <v>622</v>
      </c>
      <c r="V25" s="4" t="s">
        <v>71</v>
      </c>
      <c r="W25" s="4"/>
      <c r="X25" s="4"/>
      <c r="Y25" s="4"/>
      <c r="Z25" s="4"/>
      <c r="AA25" s="11"/>
      <c r="AB25" s="13" t="s">
        <v>624</v>
      </c>
    </row>
    <row r="26" spans="1:28" x14ac:dyDescent="0.35">
      <c r="A26" s="4">
        <v>19</v>
      </c>
      <c r="B26" s="4" t="s">
        <v>69</v>
      </c>
      <c r="C26" s="4" t="s">
        <v>70</v>
      </c>
      <c r="D26" s="4">
        <v>4726</v>
      </c>
      <c r="E26" s="4">
        <v>80</v>
      </c>
      <c r="F26" s="4"/>
      <c r="G26" s="4">
        <v>83</v>
      </c>
      <c r="H26" s="4">
        <v>83</v>
      </c>
      <c r="I26" s="4">
        <v>85</v>
      </c>
      <c r="J26" s="4">
        <v>80</v>
      </c>
      <c r="K26" s="4">
        <v>85</v>
      </c>
      <c r="L26" s="4">
        <v>84</v>
      </c>
      <c r="M26" s="4">
        <v>80</v>
      </c>
      <c r="N26" s="4">
        <v>81</v>
      </c>
      <c r="O26" s="4">
        <v>80</v>
      </c>
      <c r="P26" s="4">
        <v>80</v>
      </c>
      <c r="Q26" s="5">
        <f t="shared" si="0"/>
        <v>81.909090909090907</v>
      </c>
      <c r="R26" s="4">
        <v>0</v>
      </c>
      <c r="S26" s="4">
        <v>0</v>
      </c>
      <c r="T26" s="4">
        <v>0</v>
      </c>
      <c r="U26" s="13" t="s">
        <v>623</v>
      </c>
      <c r="V26" s="4" t="s">
        <v>71</v>
      </c>
      <c r="W26" s="4" t="s">
        <v>71</v>
      </c>
      <c r="X26" s="4"/>
      <c r="Y26" s="4"/>
      <c r="Z26" s="4"/>
      <c r="AA26" s="11"/>
      <c r="AB26" s="13" t="s">
        <v>626</v>
      </c>
    </row>
    <row r="27" spans="1:28" x14ac:dyDescent="0.35">
      <c r="A27" s="4">
        <v>20</v>
      </c>
      <c r="B27" s="4" t="s">
        <v>72</v>
      </c>
      <c r="C27" s="4" t="s">
        <v>73</v>
      </c>
      <c r="D27" s="4">
        <v>4736</v>
      </c>
      <c r="E27" s="4"/>
      <c r="F27" s="4">
        <v>84</v>
      </c>
      <c r="G27" s="4">
        <v>78</v>
      </c>
      <c r="H27" s="4">
        <v>86</v>
      </c>
      <c r="I27" s="4">
        <v>80</v>
      </c>
      <c r="J27" s="4">
        <v>78</v>
      </c>
      <c r="K27" s="4">
        <v>80</v>
      </c>
      <c r="L27" s="4">
        <v>82</v>
      </c>
      <c r="M27" s="4">
        <v>79</v>
      </c>
      <c r="N27" s="4">
        <v>79</v>
      </c>
      <c r="O27" s="4">
        <v>78</v>
      </c>
      <c r="P27" s="4">
        <v>78</v>
      </c>
      <c r="Q27" s="5">
        <f t="shared" si="0"/>
        <v>80.181818181818187</v>
      </c>
      <c r="R27" s="4">
        <v>0</v>
      </c>
      <c r="S27" s="4">
        <v>1</v>
      </c>
      <c r="T27" s="4">
        <v>3</v>
      </c>
      <c r="U27" s="13" t="s">
        <v>622</v>
      </c>
      <c r="V27" s="4" t="s">
        <v>71</v>
      </c>
      <c r="W27" s="4"/>
      <c r="X27" s="4"/>
      <c r="Y27" s="4" t="s">
        <v>71</v>
      </c>
      <c r="Z27" s="4"/>
      <c r="AA27" s="11"/>
      <c r="AB27" s="13" t="s">
        <v>626</v>
      </c>
    </row>
    <row r="28" spans="1:28" x14ac:dyDescent="0.35">
      <c r="A28" s="4">
        <v>21</v>
      </c>
      <c r="B28" s="4" t="s">
        <v>74</v>
      </c>
      <c r="C28" s="4" t="s">
        <v>75</v>
      </c>
      <c r="D28" s="4">
        <v>4743</v>
      </c>
      <c r="E28" s="4">
        <v>86</v>
      </c>
      <c r="F28" s="4"/>
      <c r="G28" s="4">
        <v>85</v>
      </c>
      <c r="H28" s="4">
        <v>83</v>
      </c>
      <c r="I28" s="4">
        <v>86</v>
      </c>
      <c r="J28" s="4">
        <v>83</v>
      </c>
      <c r="K28" s="4">
        <v>86</v>
      </c>
      <c r="L28" s="4">
        <v>82</v>
      </c>
      <c r="M28" s="4">
        <v>79</v>
      </c>
      <c r="N28" s="4">
        <v>82</v>
      </c>
      <c r="O28" s="4">
        <v>82</v>
      </c>
      <c r="P28" s="4">
        <v>82</v>
      </c>
      <c r="Q28" s="5">
        <f t="shared" si="0"/>
        <v>83.272727272727266</v>
      </c>
      <c r="R28" s="4">
        <v>2</v>
      </c>
      <c r="S28" s="4">
        <v>0</v>
      </c>
      <c r="T28" s="4">
        <v>0</v>
      </c>
      <c r="U28" s="13" t="s">
        <v>622</v>
      </c>
      <c r="V28" s="4" t="s">
        <v>71</v>
      </c>
      <c r="W28" s="4"/>
      <c r="X28" s="4"/>
      <c r="Y28" s="4"/>
      <c r="Z28" s="4"/>
      <c r="AA28" s="11"/>
      <c r="AB28" s="13" t="s">
        <v>624</v>
      </c>
    </row>
    <row r="29" spans="1:28" x14ac:dyDescent="0.35">
      <c r="A29" s="4">
        <v>22</v>
      </c>
      <c r="B29" s="4" t="s">
        <v>76</v>
      </c>
      <c r="C29" s="4" t="s">
        <v>77</v>
      </c>
      <c r="D29" s="4">
        <v>4757</v>
      </c>
      <c r="E29" s="4">
        <v>87</v>
      </c>
      <c r="F29" s="4"/>
      <c r="G29" s="4">
        <v>81</v>
      </c>
      <c r="H29" s="4">
        <v>88</v>
      </c>
      <c r="I29" s="4">
        <v>80</v>
      </c>
      <c r="J29" s="4">
        <v>79</v>
      </c>
      <c r="K29" s="4">
        <v>82</v>
      </c>
      <c r="L29" s="4">
        <v>82</v>
      </c>
      <c r="M29" s="4">
        <v>80</v>
      </c>
      <c r="N29" s="4">
        <v>79</v>
      </c>
      <c r="O29" s="4">
        <v>82</v>
      </c>
      <c r="P29" s="4">
        <v>82</v>
      </c>
      <c r="Q29" s="5">
        <f t="shared" si="0"/>
        <v>82</v>
      </c>
      <c r="R29" s="4">
        <v>0</v>
      </c>
      <c r="S29" s="4">
        <v>0</v>
      </c>
      <c r="T29" s="4">
        <v>0</v>
      </c>
      <c r="U29" s="13" t="s">
        <v>623</v>
      </c>
      <c r="V29" s="4" t="s">
        <v>71</v>
      </c>
      <c r="W29" s="4"/>
      <c r="X29" s="4"/>
      <c r="Y29" s="4"/>
      <c r="Z29" s="4"/>
      <c r="AA29" s="11"/>
      <c r="AB29" s="13" t="s">
        <v>624</v>
      </c>
    </row>
    <row r="30" spans="1:28" x14ac:dyDescent="0.35">
      <c r="A30" s="4">
        <v>23</v>
      </c>
      <c r="B30" s="4" t="s">
        <v>78</v>
      </c>
      <c r="C30" s="4" t="s">
        <v>79</v>
      </c>
      <c r="D30" s="4">
        <v>4764</v>
      </c>
      <c r="E30" s="4">
        <v>85</v>
      </c>
      <c r="F30" s="4"/>
      <c r="G30" s="4">
        <v>84</v>
      </c>
      <c r="H30" s="4">
        <v>88</v>
      </c>
      <c r="I30" s="4">
        <v>86</v>
      </c>
      <c r="J30" s="4">
        <v>83</v>
      </c>
      <c r="K30" s="4">
        <v>84</v>
      </c>
      <c r="L30" s="4">
        <v>84</v>
      </c>
      <c r="M30" s="4">
        <v>85</v>
      </c>
      <c r="N30" s="4">
        <v>81</v>
      </c>
      <c r="O30" s="4">
        <v>82</v>
      </c>
      <c r="P30" s="4">
        <v>82</v>
      </c>
      <c r="Q30" s="5">
        <f t="shared" si="0"/>
        <v>84</v>
      </c>
      <c r="R30" s="4">
        <v>1</v>
      </c>
      <c r="S30" s="4">
        <v>0</v>
      </c>
      <c r="T30" s="4">
        <v>0</v>
      </c>
      <c r="U30" s="13" t="s">
        <v>622</v>
      </c>
      <c r="V30" s="4" t="s">
        <v>71</v>
      </c>
      <c r="W30" s="4"/>
      <c r="X30" s="4"/>
      <c r="Y30" s="4"/>
      <c r="Z30" s="4"/>
      <c r="AA30" s="11"/>
      <c r="AB30" s="13" t="s">
        <v>624</v>
      </c>
    </row>
    <row r="31" spans="1:28" x14ac:dyDescent="0.35">
      <c r="A31" s="4">
        <v>24</v>
      </c>
      <c r="B31" s="4" t="s">
        <v>80</v>
      </c>
      <c r="C31" s="4" t="s">
        <v>81</v>
      </c>
      <c r="D31" s="4">
        <v>4773</v>
      </c>
      <c r="E31" s="4">
        <v>87</v>
      </c>
      <c r="F31" s="4"/>
      <c r="G31" s="4">
        <v>87</v>
      </c>
      <c r="H31" s="4">
        <v>88</v>
      </c>
      <c r="I31" s="4">
        <v>88</v>
      </c>
      <c r="J31" s="4">
        <v>88</v>
      </c>
      <c r="K31" s="4">
        <v>86</v>
      </c>
      <c r="L31" s="4">
        <v>88</v>
      </c>
      <c r="M31" s="4">
        <v>87</v>
      </c>
      <c r="N31" s="4">
        <v>86</v>
      </c>
      <c r="O31" s="4">
        <v>88</v>
      </c>
      <c r="P31" s="4">
        <v>88</v>
      </c>
      <c r="Q31" s="5">
        <f t="shared" si="0"/>
        <v>87.36363636363636</v>
      </c>
      <c r="R31" s="4">
        <v>1</v>
      </c>
      <c r="S31" s="4">
        <v>0</v>
      </c>
      <c r="T31" s="4">
        <v>0</v>
      </c>
      <c r="U31" s="13" t="s">
        <v>623</v>
      </c>
      <c r="V31" s="4" t="s">
        <v>71</v>
      </c>
      <c r="W31" s="4" t="s">
        <v>71</v>
      </c>
      <c r="X31" s="4"/>
      <c r="Y31" s="4"/>
      <c r="Z31" s="4"/>
      <c r="AA31" s="11" t="s">
        <v>71</v>
      </c>
      <c r="AB31" s="13" t="s">
        <v>628</v>
      </c>
    </row>
    <row r="32" spans="1:28" x14ac:dyDescent="0.35">
      <c r="A32" s="4">
        <v>25</v>
      </c>
      <c r="B32" s="4" t="s">
        <v>82</v>
      </c>
      <c r="C32" s="4" t="s">
        <v>83</v>
      </c>
      <c r="D32" s="4">
        <v>4774</v>
      </c>
      <c r="E32" s="4"/>
      <c r="F32" s="4">
        <v>85</v>
      </c>
      <c r="G32" s="4">
        <v>84</v>
      </c>
      <c r="H32" s="4">
        <v>88</v>
      </c>
      <c r="I32" s="4">
        <v>84</v>
      </c>
      <c r="J32" s="4">
        <v>78</v>
      </c>
      <c r="K32" s="4">
        <v>85</v>
      </c>
      <c r="L32" s="4">
        <v>84</v>
      </c>
      <c r="M32" s="4">
        <v>82</v>
      </c>
      <c r="N32" s="4">
        <v>82</v>
      </c>
      <c r="O32" s="4">
        <v>82</v>
      </c>
      <c r="P32" s="4">
        <v>82</v>
      </c>
      <c r="Q32" s="5">
        <f t="shared" si="0"/>
        <v>83.272727272727266</v>
      </c>
      <c r="R32" s="4">
        <v>0</v>
      </c>
      <c r="S32" s="4">
        <v>1</v>
      </c>
      <c r="T32" s="4">
        <v>0</v>
      </c>
      <c r="U32" s="13" t="s">
        <v>622</v>
      </c>
      <c r="V32" s="4" t="s">
        <v>71</v>
      </c>
      <c r="W32" s="4"/>
      <c r="X32" s="4"/>
      <c r="Y32" s="4"/>
      <c r="Z32" s="4"/>
      <c r="AA32" s="11"/>
      <c r="AB32" s="13" t="s">
        <v>624</v>
      </c>
    </row>
    <row r="33" spans="1:28" x14ac:dyDescent="0.35">
      <c r="A33" s="4">
        <v>26</v>
      </c>
      <c r="B33" s="4" t="s">
        <v>84</v>
      </c>
      <c r="C33" s="4" t="s">
        <v>85</v>
      </c>
      <c r="D33" s="4">
        <v>4782</v>
      </c>
      <c r="E33" s="4">
        <v>88</v>
      </c>
      <c r="F33" s="4"/>
      <c r="G33" s="4">
        <v>84</v>
      </c>
      <c r="H33" s="4">
        <v>83</v>
      </c>
      <c r="I33" s="4">
        <v>86</v>
      </c>
      <c r="J33" s="4">
        <v>86</v>
      </c>
      <c r="K33" s="4">
        <v>86</v>
      </c>
      <c r="L33" s="4">
        <v>84</v>
      </c>
      <c r="M33" s="4">
        <v>85</v>
      </c>
      <c r="N33" s="4">
        <v>85</v>
      </c>
      <c r="O33" s="4">
        <v>87</v>
      </c>
      <c r="P33" s="4">
        <v>87</v>
      </c>
      <c r="Q33" s="5">
        <f t="shared" si="0"/>
        <v>85.545454545454547</v>
      </c>
      <c r="R33" s="4">
        <v>0</v>
      </c>
      <c r="S33" s="4">
        <v>0</v>
      </c>
      <c r="T33" s="4">
        <v>0</v>
      </c>
      <c r="U33" s="13" t="s">
        <v>623</v>
      </c>
      <c r="V33" s="4" t="s">
        <v>71</v>
      </c>
      <c r="W33" s="4" t="s">
        <v>71</v>
      </c>
      <c r="X33" s="4" t="s">
        <v>71</v>
      </c>
      <c r="Y33" s="4"/>
      <c r="Z33" s="4"/>
      <c r="AA33" s="11"/>
      <c r="AB33" s="13" t="s">
        <v>626</v>
      </c>
    </row>
    <row r="34" spans="1:28" x14ac:dyDescent="0.35">
      <c r="A34" s="4">
        <v>27</v>
      </c>
      <c r="B34" s="4" t="s">
        <v>86</v>
      </c>
      <c r="C34" s="4" t="s">
        <v>87</v>
      </c>
      <c r="D34" s="4">
        <v>4789</v>
      </c>
      <c r="E34" s="4">
        <v>80</v>
      </c>
      <c r="F34" s="4"/>
      <c r="G34" s="4">
        <v>81</v>
      </c>
      <c r="H34" s="4">
        <v>83</v>
      </c>
      <c r="I34" s="4">
        <v>80</v>
      </c>
      <c r="J34" s="4">
        <v>78</v>
      </c>
      <c r="K34" s="4">
        <v>81</v>
      </c>
      <c r="L34" s="4">
        <v>80</v>
      </c>
      <c r="M34" s="4">
        <v>79</v>
      </c>
      <c r="N34" s="4">
        <v>79</v>
      </c>
      <c r="O34" s="4">
        <v>79</v>
      </c>
      <c r="P34" s="4">
        <v>79</v>
      </c>
      <c r="Q34" s="5">
        <f t="shared" si="0"/>
        <v>79.909090909090907</v>
      </c>
      <c r="R34" s="4">
        <v>1</v>
      </c>
      <c r="S34" s="4">
        <v>0</v>
      </c>
      <c r="T34" s="4">
        <v>0</v>
      </c>
      <c r="U34" s="13" t="s">
        <v>622</v>
      </c>
      <c r="V34" s="4" t="s">
        <v>71</v>
      </c>
      <c r="W34" s="4"/>
      <c r="X34" s="4"/>
      <c r="Y34" s="4"/>
      <c r="Z34" s="4"/>
      <c r="AA34" s="11"/>
      <c r="AB34" s="13" t="s">
        <v>624</v>
      </c>
    </row>
    <row r="35" spans="1:28" x14ac:dyDescent="0.35">
      <c r="A35" s="4">
        <v>28</v>
      </c>
      <c r="B35" s="4" t="s">
        <v>88</v>
      </c>
      <c r="C35" s="4" t="s">
        <v>89</v>
      </c>
      <c r="D35" s="4">
        <v>4800</v>
      </c>
      <c r="E35" s="4">
        <v>80</v>
      </c>
      <c r="F35" s="4"/>
      <c r="G35" s="4">
        <v>81</v>
      </c>
      <c r="H35" s="4">
        <v>86</v>
      </c>
      <c r="I35" s="4">
        <v>82</v>
      </c>
      <c r="J35" s="4">
        <v>80</v>
      </c>
      <c r="K35" s="4">
        <v>85</v>
      </c>
      <c r="L35" s="4">
        <v>83</v>
      </c>
      <c r="M35" s="4">
        <v>80</v>
      </c>
      <c r="N35" s="4">
        <v>79</v>
      </c>
      <c r="O35" s="4">
        <v>81</v>
      </c>
      <c r="P35" s="4">
        <v>81</v>
      </c>
      <c r="Q35" s="5">
        <f t="shared" si="0"/>
        <v>81.63636363636364</v>
      </c>
      <c r="R35" s="4">
        <v>1</v>
      </c>
      <c r="S35" s="4">
        <v>0</v>
      </c>
      <c r="T35" s="4">
        <v>0</v>
      </c>
      <c r="U35" s="13" t="s">
        <v>622</v>
      </c>
      <c r="V35" s="4" t="s">
        <v>71</v>
      </c>
      <c r="W35" s="4"/>
      <c r="X35" s="4"/>
      <c r="Y35" s="4"/>
      <c r="Z35" s="4"/>
      <c r="AA35" s="11"/>
      <c r="AB35" s="13" t="s">
        <v>624</v>
      </c>
    </row>
    <row r="36" spans="1:28" x14ac:dyDescent="0.35">
      <c r="A36" s="4">
        <v>29</v>
      </c>
      <c r="B36" s="4" t="s">
        <v>90</v>
      </c>
      <c r="C36" s="4" t="s">
        <v>91</v>
      </c>
      <c r="D36" s="4">
        <v>4802</v>
      </c>
      <c r="E36" s="4">
        <v>85</v>
      </c>
      <c r="F36" s="4"/>
      <c r="G36" s="4">
        <v>83</v>
      </c>
      <c r="H36" s="4">
        <v>86</v>
      </c>
      <c r="I36" s="4">
        <v>84</v>
      </c>
      <c r="J36" s="4">
        <v>82</v>
      </c>
      <c r="K36" s="4">
        <v>85</v>
      </c>
      <c r="L36" s="4">
        <v>82</v>
      </c>
      <c r="M36" s="4">
        <v>80</v>
      </c>
      <c r="N36" s="4">
        <v>80</v>
      </c>
      <c r="O36" s="4">
        <v>82</v>
      </c>
      <c r="P36" s="4">
        <v>82</v>
      </c>
      <c r="Q36" s="5">
        <f t="shared" si="0"/>
        <v>82.818181818181813</v>
      </c>
      <c r="R36" s="4">
        <v>0</v>
      </c>
      <c r="S36" s="4">
        <v>0</v>
      </c>
      <c r="T36" s="4">
        <v>0</v>
      </c>
      <c r="U36" s="13" t="s">
        <v>623</v>
      </c>
      <c r="V36" s="4" t="s">
        <v>71</v>
      </c>
      <c r="W36" s="4"/>
      <c r="X36" s="4"/>
      <c r="Y36" s="4"/>
      <c r="Z36" s="4"/>
      <c r="AA36" s="11"/>
      <c r="AB36" s="13" t="s">
        <v>624</v>
      </c>
    </row>
    <row r="37" spans="1:28" x14ac:dyDescent="0.35">
      <c r="A37" s="4">
        <v>30</v>
      </c>
      <c r="B37" s="4" t="s">
        <v>92</v>
      </c>
      <c r="C37" s="4" t="s">
        <v>93</v>
      </c>
      <c r="D37" s="4">
        <v>4816</v>
      </c>
      <c r="E37" s="4">
        <v>80</v>
      </c>
      <c r="F37" s="4"/>
      <c r="G37" s="4">
        <v>82</v>
      </c>
      <c r="H37" s="4">
        <v>79</v>
      </c>
      <c r="I37" s="4">
        <v>84</v>
      </c>
      <c r="J37" s="4">
        <v>80</v>
      </c>
      <c r="K37" s="4">
        <v>84</v>
      </c>
      <c r="L37" s="4">
        <v>82</v>
      </c>
      <c r="M37" s="4">
        <v>83</v>
      </c>
      <c r="N37" s="4">
        <v>82</v>
      </c>
      <c r="O37" s="4">
        <v>80</v>
      </c>
      <c r="P37" s="4">
        <v>80</v>
      </c>
      <c r="Q37" s="5">
        <f t="shared" si="0"/>
        <v>81.454545454545453</v>
      </c>
      <c r="R37" s="4">
        <v>1</v>
      </c>
      <c r="S37" s="4">
        <v>0</v>
      </c>
      <c r="T37" s="4">
        <v>1</v>
      </c>
      <c r="U37" s="13" t="s">
        <v>622</v>
      </c>
      <c r="V37" s="4" t="s">
        <v>71</v>
      </c>
      <c r="W37" s="4"/>
      <c r="X37" s="4"/>
      <c r="Y37" s="4"/>
      <c r="Z37" s="4"/>
      <c r="AA37" s="11"/>
      <c r="AB37" s="13" t="s">
        <v>624</v>
      </c>
    </row>
    <row r="38" spans="1:28" x14ac:dyDescent="0.35">
      <c r="A38" s="4">
        <v>31</v>
      </c>
      <c r="B38" s="4" t="s">
        <v>94</v>
      </c>
      <c r="C38" s="4" t="s">
        <v>95</v>
      </c>
      <c r="D38" s="4">
        <v>4818</v>
      </c>
      <c r="E38" s="4">
        <v>78</v>
      </c>
      <c r="F38" s="4"/>
      <c r="G38" s="4">
        <v>77</v>
      </c>
      <c r="H38" s="4">
        <v>86</v>
      </c>
      <c r="I38" s="4">
        <v>83</v>
      </c>
      <c r="J38" s="4">
        <v>83</v>
      </c>
      <c r="K38" s="4">
        <v>84</v>
      </c>
      <c r="L38" s="4">
        <v>80</v>
      </c>
      <c r="M38" s="4">
        <v>78</v>
      </c>
      <c r="N38" s="4">
        <v>80</v>
      </c>
      <c r="O38" s="4">
        <v>79</v>
      </c>
      <c r="P38" s="4">
        <v>79</v>
      </c>
      <c r="Q38" s="5">
        <f t="shared" si="0"/>
        <v>80.63636363636364</v>
      </c>
      <c r="R38" s="4">
        <v>0</v>
      </c>
      <c r="S38" s="4">
        <v>0</v>
      </c>
      <c r="T38" s="4">
        <v>0</v>
      </c>
      <c r="U38" s="14" t="s">
        <v>623</v>
      </c>
      <c r="V38" s="4" t="s">
        <v>71</v>
      </c>
      <c r="W38" s="4"/>
      <c r="X38" s="4"/>
      <c r="Y38" s="4"/>
      <c r="Z38" s="4"/>
      <c r="AA38" s="11"/>
      <c r="AB38" s="13" t="s">
        <v>624</v>
      </c>
    </row>
    <row r="39" spans="1:28" x14ac:dyDescent="0.35">
      <c r="A39" s="4">
        <v>32</v>
      </c>
      <c r="B39" s="4" t="s">
        <v>96</v>
      </c>
      <c r="C39" s="4" t="s">
        <v>97</v>
      </c>
      <c r="D39" s="4">
        <v>4829</v>
      </c>
      <c r="E39" s="4">
        <v>85</v>
      </c>
      <c r="F39" s="4"/>
      <c r="G39" s="4">
        <v>86</v>
      </c>
      <c r="H39" s="4">
        <v>86</v>
      </c>
      <c r="I39" s="4">
        <v>85</v>
      </c>
      <c r="J39" s="4">
        <v>82</v>
      </c>
      <c r="K39" s="4">
        <v>86</v>
      </c>
      <c r="L39" s="4">
        <v>84</v>
      </c>
      <c r="M39" s="4">
        <v>80</v>
      </c>
      <c r="N39" s="4">
        <v>82</v>
      </c>
      <c r="O39" s="4">
        <v>81</v>
      </c>
      <c r="P39" s="4">
        <v>81</v>
      </c>
      <c r="Q39" s="5">
        <f t="shared" si="0"/>
        <v>83.454545454545453</v>
      </c>
      <c r="R39" s="4">
        <v>0</v>
      </c>
      <c r="S39" s="4">
        <v>0</v>
      </c>
      <c r="T39" s="4">
        <v>0</v>
      </c>
      <c r="U39" s="13" t="s">
        <v>623</v>
      </c>
      <c r="V39" s="4" t="s">
        <v>71</v>
      </c>
      <c r="W39" s="4"/>
      <c r="X39" s="4"/>
      <c r="Y39" s="4"/>
      <c r="Z39" s="4"/>
      <c r="AA39" s="11"/>
      <c r="AB39" s="13" t="s">
        <v>624</v>
      </c>
    </row>
    <row r="40" spans="1:28" x14ac:dyDescent="0.35">
      <c r="A40" s="4">
        <v>33</v>
      </c>
      <c r="B40" s="4" t="s">
        <v>98</v>
      </c>
      <c r="C40" s="4" t="s">
        <v>99</v>
      </c>
      <c r="D40" s="4">
        <v>4838</v>
      </c>
      <c r="E40" s="4">
        <v>84</v>
      </c>
      <c r="F40" s="4"/>
      <c r="G40" s="4">
        <v>84</v>
      </c>
      <c r="H40" s="4">
        <v>88</v>
      </c>
      <c r="I40" s="4">
        <v>84</v>
      </c>
      <c r="J40" s="4">
        <v>83</v>
      </c>
      <c r="K40" s="4">
        <v>86</v>
      </c>
      <c r="L40" s="4">
        <v>84</v>
      </c>
      <c r="M40" s="4">
        <v>83</v>
      </c>
      <c r="N40" s="4">
        <v>80</v>
      </c>
      <c r="O40" s="4">
        <v>80</v>
      </c>
      <c r="P40" s="4">
        <v>80</v>
      </c>
      <c r="Q40" s="5">
        <f t="shared" si="0"/>
        <v>83.272727272727266</v>
      </c>
      <c r="R40" s="4">
        <v>0</v>
      </c>
      <c r="S40" s="4">
        <v>1</v>
      </c>
      <c r="T40" s="4">
        <v>0</v>
      </c>
      <c r="U40" s="13" t="s">
        <v>622</v>
      </c>
      <c r="V40" s="4" t="s">
        <v>71</v>
      </c>
      <c r="W40" s="4"/>
      <c r="X40" s="4"/>
      <c r="Y40" s="4"/>
      <c r="Z40" s="4"/>
      <c r="AA40" s="11"/>
      <c r="AB40" s="13" t="s">
        <v>624</v>
      </c>
    </row>
    <row r="41" spans="1:28" x14ac:dyDescent="0.35">
      <c r="A41" s="4">
        <v>34</v>
      </c>
      <c r="B41" s="4" t="s">
        <v>100</v>
      </c>
      <c r="C41" s="4" t="s">
        <v>101</v>
      </c>
      <c r="D41" s="4">
        <v>4842</v>
      </c>
      <c r="E41" s="4">
        <v>87</v>
      </c>
      <c r="F41" s="4"/>
      <c r="G41" s="4">
        <v>85</v>
      </c>
      <c r="H41" s="4">
        <v>88</v>
      </c>
      <c r="I41" s="4">
        <v>85</v>
      </c>
      <c r="J41" s="4">
        <v>86</v>
      </c>
      <c r="K41" s="4">
        <v>86</v>
      </c>
      <c r="L41" s="4">
        <v>86</v>
      </c>
      <c r="M41" s="4">
        <v>87</v>
      </c>
      <c r="N41" s="4">
        <v>86</v>
      </c>
      <c r="O41" s="4">
        <v>87</v>
      </c>
      <c r="P41" s="4">
        <v>87</v>
      </c>
      <c r="Q41" s="5">
        <f t="shared" si="0"/>
        <v>86.36363636363636</v>
      </c>
      <c r="R41" s="4">
        <v>1</v>
      </c>
      <c r="S41" s="4">
        <v>0</v>
      </c>
      <c r="T41" s="4">
        <v>0</v>
      </c>
      <c r="U41" s="13" t="s">
        <v>623</v>
      </c>
      <c r="V41" s="4" t="s">
        <v>60</v>
      </c>
      <c r="W41" s="4"/>
      <c r="X41" s="4"/>
      <c r="Y41" s="4"/>
      <c r="Z41" s="4" t="s">
        <v>60</v>
      </c>
      <c r="AA41" s="11"/>
      <c r="AB41" s="13" t="s">
        <v>626</v>
      </c>
    </row>
    <row r="42" spans="1:28" x14ac:dyDescent="0.35">
      <c r="A42" s="4">
        <v>35</v>
      </c>
      <c r="B42" s="4" t="s">
        <v>102</v>
      </c>
      <c r="C42" s="4" t="s">
        <v>103</v>
      </c>
      <c r="D42" s="4">
        <v>4846</v>
      </c>
      <c r="E42" s="4">
        <v>86</v>
      </c>
      <c r="F42" s="4"/>
      <c r="G42" s="4">
        <v>87</v>
      </c>
      <c r="H42" s="4">
        <v>88</v>
      </c>
      <c r="I42" s="4">
        <v>86</v>
      </c>
      <c r="J42" s="4">
        <v>86</v>
      </c>
      <c r="K42" s="4">
        <v>86</v>
      </c>
      <c r="L42" s="4">
        <v>88</v>
      </c>
      <c r="M42" s="4">
        <v>87</v>
      </c>
      <c r="N42" s="4">
        <v>85</v>
      </c>
      <c r="O42" s="4">
        <v>88</v>
      </c>
      <c r="P42" s="4">
        <v>88</v>
      </c>
      <c r="Q42" s="5">
        <f t="shared" si="0"/>
        <v>86.818181818181813</v>
      </c>
      <c r="R42" s="4">
        <v>0</v>
      </c>
      <c r="S42" s="4">
        <v>0</v>
      </c>
      <c r="T42" s="4">
        <v>0</v>
      </c>
      <c r="U42" s="13" t="s">
        <v>623</v>
      </c>
      <c r="V42" s="4" t="s">
        <v>71</v>
      </c>
      <c r="W42" s="4"/>
      <c r="X42" s="4"/>
      <c r="Y42" s="4"/>
      <c r="Z42" s="4"/>
      <c r="AA42" s="11"/>
      <c r="AB42" s="13" t="s">
        <v>626</v>
      </c>
    </row>
    <row r="43" spans="1:28" x14ac:dyDescent="0.35">
      <c r="A43" s="4">
        <v>36</v>
      </c>
      <c r="B43" s="4" t="s">
        <v>104</v>
      </c>
      <c r="C43" s="4" t="s">
        <v>105</v>
      </c>
      <c r="D43" s="4">
        <v>4854</v>
      </c>
      <c r="E43" s="4">
        <v>85</v>
      </c>
      <c r="F43" s="4"/>
      <c r="G43" s="4">
        <v>86</v>
      </c>
      <c r="H43" s="4">
        <v>88</v>
      </c>
      <c r="I43" s="4">
        <v>87</v>
      </c>
      <c r="J43" s="4">
        <v>83</v>
      </c>
      <c r="K43" s="4">
        <v>85</v>
      </c>
      <c r="L43" s="4">
        <v>84</v>
      </c>
      <c r="M43" s="4">
        <v>85</v>
      </c>
      <c r="N43" s="4">
        <v>81</v>
      </c>
      <c r="O43" s="4">
        <v>84</v>
      </c>
      <c r="P43" s="4">
        <v>84</v>
      </c>
      <c r="Q43" s="5">
        <f t="shared" si="0"/>
        <v>84.727272727272734</v>
      </c>
      <c r="R43" s="4">
        <v>0</v>
      </c>
      <c r="S43" s="4">
        <v>0</v>
      </c>
      <c r="T43" s="4">
        <v>0</v>
      </c>
      <c r="U43" s="13" t="s">
        <v>623</v>
      </c>
      <c r="V43" s="4" t="s">
        <v>71</v>
      </c>
      <c r="W43" s="4"/>
      <c r="X43" s="4"/>
      <c r="Y43" s="4"/>
      <c r="Z43" s="4"/>
      <c r="AA43" s="11"/>
      <c r="AB43" s="13" t="s">
        <v>624</v>
      </c>
    </row>
  </sheetData>
  <sheetProtection formatCells="0" formatColumns="0" formatRows="0" insertColumns="0" insertRows="0" insertHyperlinks="0" deleteColumns="0" deleteRows="0" sort="0" autoFilter="0" pivotTables="0"/>
  <mergeCells count="27">
    <mergeCell ref="AB4:AB7"/>
    <mergeCell ref="F5:F7"/>
    <mergeCell ref="G5:G7"/>
    <mergeCell ref="V4:AA4"/>
    <mergeCell ref="R4:T6"/>
    <mergeCell ref="V5:V7"/>
    <mergeCell ref="W5:W7"/>
    <mergeCell ref="X5:X7"/>
    <mergeCell ref="Y5:Y7"/>
    <mergeCell ref="Z5:Z7"/>
    <mergeCell ref="AA5:AA7"/>
    <mergeCell ref="H5:H7"/>
    <mergeCell ref="I5:I7"/>
    <mergeCell ref="A4:A7"/>
    <mergeCell ref="B4:B7"/>
    <mergeCell ref="C4:C7"/>
    <mergeCell ref="D4:D7"/>
    <mergeCell ref="E4:Q4"/>
    <mergeCell ref="O5:O7"/>
    <mergeCell ref="P5:P7"/>
    <mergeCell ref="Q5:Q7"/>
    <mergeCell ref="J5:J7"/>
    <mergeCell ref="K5:K7"/>
    <mergeCell ref="L5:L7"/>
    <mergeCell ref="M5:M7"/>
    <mergeCell ref="N5:N7"/>
    <mergeCell ref="E5:E7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86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B391-7740-448E-8539-1C520852A9A7}">
  <dimension ref="A1:Z43"/>
  <sheetViews>
    <sheetView topLeftCell="A7" zoomScale="63" workbookViewId="0">
      <selection activeCell="T46" sqref="T46"/>
    </sheetView>
  </sheetViews>
  <sheetFormatPr defaultRowHeight="14.5" x14ac:dyDescent="0.35"/>
  <cols>
    <col min="1" max="1" width="4" customWidth="1"/>
    <col min="2" max="2" width="31.453125" bestFit="1" customWidth="1"/>
    <col min="3" max="3" width="11.54296875" customWidth="1"/>
    <col min="4" max="4" width="5" bestFit="1" customWidth="1"/>
    <col min="5" max="15" width="5" customWidth="1"/>
    <col min="16" max="16" width="6" customWidth="1"/>
    <col min="17" max="19" width="5" customWidth="1"/>
    <col min="20" max="20" width="11.36328125" customWidth="1"/>
    <col min="21" max="25" width="5" customWidth="1"/>
    <col min="26" max="26" width="11" customWidth="1"/>
  </cols>
  <sheetData>
    <row r="1" spans="1:2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x14ac:dyDescent="0.35">
      <c r="A3" s="2" t="s">
        <v>3</v>
      </c>
      <c r="B3" s="2"/>
      <c r="C3" s="2" t="s">
        <v>107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x14ac:dyDescent="0.3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 t="s">
        <v>10</v>
      </c>
      <c r="R4" s="15"/>
      <c r="S4" s="16"/>
      <c r="T4" s="7"/>
      <c r="U4" s="18" t="s">
        <v>11</v>
      </c>
      <c r="V4" s="15"/>
      <c r="W4" s="15"/>
      <c r="X4" s="15"/>
      <c r="Y4" s="15"/>
      <c r="Z4" s="15" t="s">
        <v>629</v>
      </c>
    </row>
    <row r="5" spans="1:26" x14ac:dyDescent="0.35">
      <c r="A5" s="15"/>
      <c r="B5" s="15"/>
      <c r="C5" s="15"/>
      <c r="D5" s="15"/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  <c r="M5" s="15" t="s">
        <v>20</v>
      </c>
      <c r="N5" s="15" t="s">
        <v>21</v>
      </c>
      <c r="O5" s="15" t="s">
        <v>22</v>
      </c>
      <c r="P5" s="15" t="s">
        <v>106</v>
      </c>
      <c r="Q5" s="15"/>
      <c r="R5" s="15"/>
      <c r="S5" s="16"/>
      <c r="T5" s="8" t="s">
        <v>548</v>
      </c>
      <c r="U5" s="18" t="s">
        <v>23</v>
      </c>
      <c r="V5" s="15" t="s">
        <v>108</v>
      </c>
      <c r="W5" s="15" t="s">
        <v>109</v>
      </c>
      <c r="X5" s="15" t="s">
        <v>25</v>
      </c>
      <c r="Y5" s="15" t="s">
        <v>26</v>
      </c>
      <c r="Z5" s="15"/>
    </row>
    <row r="6" spans="1:26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8"/>
      <c r="U6" s="18"/>
      <c r="V6" s="15"/>
      <c r="W6" s="15"/>
      <c r="X6" s="15"/>
      <c r="Y6" s="15"/>
      <c r="Z6" s="15"/>
    </row>
    <row r="7" spans="1:26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" t="s">
        <v>29</v>
      </c>
      <c r="R7" s="3" t="s">
        <v>30</v>
      </c>
      <c r="S7" s="6" t="s">
        <v>31</v>
      </c>
      <c r="T7" s="9"/>
      <c r="U7" s="18"/>
      <c r="V7" s="15"/>
      <c r="W7" s="15"/>
      <c r="X7" s="15"/>
      <c r="Y7" s="15"/>
      <c r="Z7" s="17"/>
    </row>
    <row r="8" spans="1:26" x14ac:dyDescent="0.35">
      <c r="A8" s="4">
        <v>1</v>
      </c>
      <c r="B8" s="4" t="s">
        <v>110</v>
      </c>
      <c r="C8" s="4" t="s">
        <v>111</v>
      </c>
      <c r="D8" s="4">
        <v>4586</v>
      </c>
      <c r="E8" s="4">
        <v>80</v>
      </c>
      <c r="F8" s="4"/>
      <c r="G8" s="4">
        <v>83</v>
      </c>
      <c r="H8" s="4">
        <v>83</v>
      </c>
      <c r="I8" s="4">
        <v>81</v>
      </c>
      <c r="J8" s="4">
        <v>80</v>
      </c>
      <c r="K8" s="4">
        <v>86</v>
      </c>
      <c r="L8" s="4">
        <v>82</v>
      </c>
      <c r="M8" s="4">
        <v>79</v>
      </c>
      <c r="N8" s="4">
        <v>81</v>
      </c>
      <c r="O8" s="4">
        <v>80</v>
      </c>
      <c r="P8" s="5">
        <f>AVERAGE(E8:O8)</f>
        <v>81.5</v>
      </c>
      <c r="Q8" s="4">
        <v>1</v>
      </c>
      <c r="R8" s="4">
        <v>0</v>
      </c>
      <c r="S8" s="11">
        <v>0</v>
      </c>
      <c r="T8" s="13" t="s">
        <v>622</v>
      </c>
      <c r="U8" s="12" t="s">
        <v>71</v>
      </c>
      <c r="V8" s="4"/>
      <c r="W8" s="4"/>
      <c r="X8" s="4"/>
      <c r="Y8" s="11"/>
      <c r="Z8" s="13" t="s">
        <v>624</v>
      </c>
    </row>
    <row r="9" spans="1:26" x14ac:dyDescent="0.35">
      <c r="A9" s="4">
        <v>2</v>
      </c>
      <c r="B9" s="4" t="s">
        <v>112</v>
      </c>
      <c r="C9" s="4" t="s">
        <v>113</v>
      </c>
      <c r="D9" s="4">
        <v>4594</v>
      </c>
      <c r="E9" s="4">
        <v>80</v>
      </c>
      <c r="F9" s="4"/>
      <c r="G9" s="4">
        <v>85</v>
      </c>
      <c r="H9" s="4">
        <v>88</v>
      </c>
      <c r="I9" s="4">
        <v>82</v>
      </c>
      <c r="J9" s="4">
        <v>82</v>
      </c>
      <c r="K9" s="4">
        <v>86</v>
      </c>
      <c r="L9" s="4">
        <v>82</v>
      </c>
      <c r="M9" s="4">
        <v>80</v>
      </c>
      <c r="N9" s="4">
        <v>83</v>
      </c>
      <c r="O9" s="4">
        <v>80</v>
      </c>
      <c r="P9" s="5">
        <f t="shared" ref="P9:P43" si="0">AVERAGE(E9:O9)</f>
        <v>82.8</v>
      </c>
      <c r="Q9" s="4">
        <v>1</v>
      </c>
      <c r="R9" s="4">
        <v>0</v>
      </c>
      <c r="S9" s="11">
        <v>0</v>
      </c>
      <c r="T9" s="13" t="s">
        <v>622</v>
      </c>
      <c r="U9" s="12" t="s">
        <v>71</v>
      </c>
      <c r="V9" s="4"/>
      <c r="W9" s="4"/>
      <c r="X9" s="4"/>
      <c r="Y9" s="11" t="s">
        <v>71</v>
      </c>
      <c r="Z9" s="13" t="s">
        <v>626</v>
      </c>
    </row>
    <row r="10" spans="1:26" x14ac:dyDescent="0.35">
      <c r="A10" s="4">
        <v>3</v>
      </c>
      <c r="B10" s="4" t="s">
        <v>114</v>
      </c>
      <c r="C10" s="4" t="s">
        <v>115</v>
      </c>
      <c r="D10" s="4">
        <v>4604</v>
      </c>
      <c r="E10" s="4">
        <v>80</v>
      </c>
      <c r="F10" s="4"/>
      <c r="G10" s="4">
        <v>81</v>
      </c>
      <c r="H10" s="4">
        <v>83</v>
      </c>
      <c r="I10" s="4">
        <v>84</v>
      </c>
      <c r="J10" s="4">
        <v>79</v>
      </c>
      <c r="K10" s="4">
        <v>85</v>
      </c>
      <c r="L10" s="4">
        <v>82</v>
      </c>
      <c r="M10" s="4">
        <v>80</v>
      </c>
      <c r="N10" s="4">
        <v>81</v>
      </c>
      <c r="O10" s="4">
        <v>80</v>
      </c>
      <c r="P10" s="5">
        <f t="shared" si="0"/>
        <v>81.5</v>
      </c>
      <c r="Q10" s="4">
        <v>1</v>
      </c>
      <c r="R10" s="4">
        <v>0</v>
      </c>
      <c r="S10" s="11">
        <v>3</v>
      </c>
      <c r="T10" s="13" t="s">
        <v>622</v>
      </c>
      <c r="U10" s="12" t="s">
        <v>71</v>
      </c>
      <c r="V10" s="4"/>
      <c r="W10" s="4"/>
      <c r="X10" s="4"/>
      <c r="Y10" s="11"/>
      <c r="Z10" s="13" t="s">
        <v>624</v>
      </c>
    </row>
    <row r="11" spans="1:26" x14ac:dyDescent="0.35">
      <c r="A11" s="4">
        <v>4</v>
      </c>
      <c r="B11" s="4" t="s">
        <v>116</v>
      </c>
      <c r="C11" s="4" t="s">
        <v>117</v>
      </c>
      <c r="D11" s="4">
        <v>4605</v>
      </c>
      <c r="E11" s="4">
        <v>82</v>
      </c>
      <c r="F11" s="4"/>
      <c r="G11" s="4">
        <v>87</v>
      </c>
      <c r="H11" s="4">
        <v>88</v>
      </c>
      <c r="I11" s="4">
        <v>82</v>
      </c>
      <c r="J11" s="4">
        <v>84</v>
      </c>
      <c r="K11" s="4">
        <v>85</v>
      </c>
      <c r="L11" s="4">
        <v>82</v>
      </c>
      <c r="M11" s="4">
        <v>80</v>
      </c>
      <c r="N11" s="4">
        <v>86</v>
      </c>
      <c r="O11" s="4">
        <v>85</v>
      </c>
      <c r="P11" s="5">
        <f t="shared" si="0"/>
        <v>84.1</v>
      </c>
      <c r="Q11" s="4">
        <v>0</v>
      </c>
      <c r="R11" s="4">
        <v>0</v>
      </c>
      <c r="S11" s="11">
        <v>1</v>
      </c>
      <c r="T11" s="13" t="s">
        <v>622</v>
      </c>
      <c r="U11" s="12" t="s">
        <v>71</v>
      </c>
      <c r="V11" s="4"/>
      <c r="W11" s="4"/>
      <c r="X11" s="4"/>
      <c r="Y11" s="11"/>
      <c r="Z11" s="13" t="s">
        <v>624</v>
      </c>
    </row>
    <row r="12" spans="1:26" x14ac:dyDescent="0.35">
      <c r="A12" s="4">
        <v>5</v>
      </c>
      <c r="B12" s="4" t="s">
        <v>118</v>
      </c>
      <c r="C12" s="4" t="s">
        <v>119</v>
      </c>
      <c r="D12" s="4">
        <v>4621</v>
      </c>
      <c r="E12" s="4">
        <v>80</v>
      </c>
      <c r="F12" s="4"/>
      <c r="G12" s="4">
        <v>81</v>
      </c>
      <c r="H12" s="4">
        <v>83</v>
      </c>
      <c r="I12" s="4">
        <v>81</v>
      </c>
      <c r="J12" s="4">
        <v>79</v>
      </c>
      <c r="K12" s="4">
        <v>80</v>
      </c>
      <c r="L12" s="4">
        <v>80</v>
      </c>
      <c r="M12" s="4">
        <v>78</v>
      </c>
      <c r="N12" s="4">
        <v>79</v>
      </c>
      <c r="O12" s="4">
        <v>78</v>
      </c>
      <c r="P12" s="5">
        <f t="shared" si="0"/>
        <v>79.900000000000006</v>
      </c>
      <c r="Q12" s="4">
        <v>1</v>
      </c>
      <c r="R12" s="4">
        <v>0</v>
      </c>
      <c r="S12" s="11">
        <v>0</v>
      </c>
      <c r="T12" s="13" t="s">
        <v>622</v>
      </c>
      <c r="U12" s="12" t="s">
        <v>71</v>
      </c>
      <c r="V12" s="4"/>
      <c r="W12" s="4"/>
      <c r="X12" s="4"/>
      <c r="Y12" s="11"/>
      <c r="Z12" s="13" t="s">
        <v>624</v>
      </c>
    </row>
    <row r="13" spans="1:26" x14ac:dyDescent="0.35">
      <c r="A13" s="4">
        <v>6</v>
      </c>
      <c r="B13" s="4" t="s">
        <v>120</v>
      </c>
      <c r="C13" s="4" t="s">
        <v>121</v>
      </c>
      <c r="D13" s="4">
        <v>4631</v>
      </c>
      <c r="E13" s="4">
        <v>85</v>
      </c>
      <c r="F13" s="4"/>
      <c r="G13" s="4">
        <v>86</v>
      </c>
      <c r="H13" s="4">
        <v>88</v>
      </c>
      <c r="I13" s="4">
        <v>84</v>
      </c>
      <c r="J13" s="4">
        <v>79</v>
      </c>
      <c r="K13" s="4">
        <v>85</v>
      </c>
      <c r="L13" s="4">
        <v>80</v>
      </c>
      <c r="M13" s="4">
        <v>79</v>
      </c>
      <c r="N13" s="4">
        <v>84</v>
      </c>
      <c r="O13" s="4">
        <v>80</v>
      </c>
      <c r="P13" s="5">
        <f t="shared" si="0"/>
        <v>83</v>
      </c>
      <c r="Q13" s="4">
        <v>1</v>
      </c>
      <c r="R13" s="4">
        <v>0</v>
      </c>
      <c r="S13" s="11">
        <v>0</v>
      </c>
      <c r="T13" s="13" t="s">
        <v>622</v>
      </c>
      <c r="U13" s="12" t="s">
        <v>71</v>
      </c>
      <c r="V13" s="4"/>
      <c r="W13" s="4"/>
      <c r="X13" s="4"/>
      <c r="Y13" s="11"/>
      <c r="Z13" s="13" t="s">
        <v>624</v>
      </c>
    </row>
    <row r="14" spans="1:26" x14ac:dyDescent="0.35">
      <c r="A14" s="4">
        <v>7</v>
      </c>
      <c r="B14" s="4" t="s">
        <v>122</v>
      </c>
      <c r="C14" s="4" t="s">
        <v>123</v>
      </c>
      <c r="D14" s="4">
        <v>4641</v>
      </c>
      <c r="E14" s="4">
        <v>80</v>
      </c>
      <c r="F14" s="4"/>
      <c r="G14" s="4">
        <v>84</v>
      </c>
      <c r="H14" s="4">
        <v>83</v>
      </c>
      <c r="I14" s="4">
        <v>84</v>
      </c>
      <c r="J14" s="4">
        <v>85</v>
      </c>
      <c r="K14" s="4">
        <v>86</v>
      </c>
      <c r="L14" s="4">
        <v>84</v>
      </c>
      <c r="M14" s="4">
        <v>83</v>
      </c>
      <c r="N14" s="4">
        <v>85</v>
      </c>
      <c r="O14" s="4">
        <v>85</v>
      </c>
      <c r="P14" s="5">
        <f t="shared" si="0"/>
        <v>83.9</v>
      </c>
      <c r="Q14" s="4">
        <v>0</v>
      </c>
      <c r="R14" s="4">
        <v>0</v>
      </c>
      <c r="S14" s="11">
        <v>0</v>
      </c>
      <c r="T14" s="13" t="s">
        <v>623</v>
      </c>
      <c r="U14" s="12" t="s">
        <v>71</v>
      </c>
      <c r="V14" s="4"/>
      <c r="W14" s="4"/>
      <c r="X14" s="4"/>
      <c r="Y14" s="11" t="s">
        <v>71</v>
      </c>
      <c r="Z14" s="13" t="s">
        <v>626</v>
      </c>
    </row>
    <row r="15" spans="1:26" x14ac:dyDescent="0.35">
      <c r="A15" s="4">
        <v>8</v>
      </c>
      <c r="B15" s="4" t="s">
        <v>124</v>
      </c>
      <c r="C15" s="4" t="s">
        <v>125</v>
      </c>
      <c r="D15" s="4">
        <v>4645</v>
      </c>
      <c r="E15" s="4">
        <v>85</v>
      </c>
      <c r="F15" s="4"/>
      <c r="G15" s="4">
        <v>86</v>
      </c>
      <c r="H15" s="4">
        <v>88</v>
      </c>
      <c r="I15" s="4">
        <v>83</v>
      </c>
      <c r="J15" s="4">
        <v>80</v>
      </c>
      <c r="K15" s="4">
        <v>86</v>
      </c>
      <c r="L15" s="4">
        <v>84</v>
      </c>
      <c r="M15" s="4">
        <v>80</v>
      </c>
      <c r="N15" s="4">
        <v>82</v>
      </c>
      <c r="O15" s="4">
        <v>83</v>
      </c>
      <c r="P15" s="5">
        <f t="shared" si="0"/>
        <v>83.7</v>
      </c>
      <c r="Q15" s="4">
        <v>0</v>
      </c>
      <c r="R15" s="4">
        <v>0</v>
      </c>
      <c r="S15" s="11">
        <v>0</v>
      </c>
      <c r="T15" s="13" t="s">
        <v>623</v>
      </c>
      <c r="U15" s="12" t="s">
        <v>71</v>
      </c>
      <c r="V15" s="4"/>
      <c r="W15" s="4"/>
      <c r="X15" s="4"/>
      <c r="Y15" s="11"/>
      <c r="Z15" s="13" t="s">
        <v>624</v>
      </c>
    </row>
    <row r="16" spans="1:26" x14ac:dyDescent="0.35">
      <c r="A16" s="4">
        <v>9</v>
      </c>
      <c r="B16" s="4" t="s">
        <v>126</v>
      </c>
      <c r="C16" s="4" t="s">
        <v>127</v>
      </c>
      <c r="D16" s="4">
        <v>4654</v>
      </c>
      <c r="E16" s="4">
        <v>85</v>
      </c>
      <c r="F16" s="4"/>
      <c r="G16" s="4">
        <v>84</v>
      </c>
      <c r="H16" s="4">
        <v>88</v>
      </c>
      <c r="I16" s="4">
        <v>86</v>
      </c>
      <c r="J16" s="4">
        <v>82</v>
      </c>
      <c r="K16" s="4">
        <v>86</v>
      </c>
      <c r="L16" s="4">
        <v>85</v>
      </c>
      <c r="M16" s="4">
        <v>80</v>
      </c>
      <c r="N16" s="4">
        <v>85</v>
      </c>
      <c r="O16" s="4">
        <v>86</v>
      </c>
      <c r="P16" s="5">
        <f t="shared" si="0"/>
        <v>84.7</v>
      </c>
      <c r="Q16" s="4">
        <v>1</v>
      </c>
      <c r="R16" s="4">
        <v>0</v>
      </c>
      <c r="S16" s="11">
        <v>0</v>
      </c>
      <c r="T16" s="13" t="s">
        <v>623</v>
      </c>
      <c r="U16" s="12" t="s">
        <v>71</v>
      </c>
      <c r="V16" s="4"/>
      <c r="W16" s="4"/>
      <c r="X16" s="4"/>
      <c r="Y16" s="11"/>
      <c r="Z16" s="13" t="s">
        <v>624</v>
      </c>
    </row>
    <row r="17" spans="1:26" x14ac:dyDescent="0.35">
      <c r="A17" s="4">
        <v>10</v>
      </c>
      <c r="B17" s="4" t="s">
        <v>128</v>
      </c>
      <c r="C17" s="4" t="s">
        <v>129</v>
      </c>
      <c r="D17" s="4">
        <v>4662</v>
      </c>
      <c r="E17" s="4">
        <v>76</v>
      </c>
      <c r="F17" s="4"/>
      <c r="G17" s="4">
        <v>84</v>
      </c>
      <c r="H17" s="4">
        <v>83</v>
      </c>
      <c r="I17" s="4">
        <v>82</v>
      </c>
      <c r="J17" s="4">
        <v>79</v>
      </c>
      <c r="K17" s="4">
        <v>86</v>
      </c>
      <c r="L17" s="4">
        <v>82</v>
      </c>
      <c r="M17" s="4">
        <v>80</v>
      </c>
      <c r="N17" s="4">
        <v>81</v>
      </c>
      <c r="O17" s="4">
        <v>81</v>
      </c>
      <c r="P17" s="5">
        <f t="shared" si="0"/>
        <v>81.400000000000006</v>
      </c>
      <c r="Q17" s="4">
        <v>2</v>
      </c>
      <c r="R17" s="4">
        <v>0</v>
      </c>
      <c r="S17" s="11">
        <v>0</v>
      </c>
      <c r="T17" s="13" t="s">
        <v>622</v>
      </c>
      <c r="U17" s="12" t="s">
        <v>71</v>
      </c>
      <c r="V17" s="4"/>
      <c r="W17" s="4"/>
      <c r="X17" s="4"/>
      <c r="Y17" s="11"/>
      <c r="Z17" s="13" t="s">
        <v>624</v>
      </c>
    </row>
    <row r="18" spans="1:26" x14ac:dyDescent="0.35">
      <c r="A18" s="4">
        <v>11</v>
      </c>
      <c r="B18" s="4" t="s">
        <v>130</v>
      </c>
      <c r="C18" s="4" t="s">
        <v>131</v>
      </c>
      <c r="D18" s="4">
        <v>4674</v>
      </c>
      <c r="E18" s="4">
        <v>82</v>
      </c>
      <c r="F18" s="4"/>
      <c r="G18" s="4">
        <v>85</v>
      </c>
      <c r="H18" s="4">
        <v>83</v>
      </c>
      <c r="I18" s="4">
        <v>82</v>
      </c>
      <c r="J18" s="4">
        <v>79</v>
      </c>
      <c r="K18" s="4">
        <v>86</v>
      </c>
      <c r="L18" s="4">
        <v>80</v>
      </c>
      <c r="M18" s="4">
        <v>80</v>
      </c>
      <c r="N18" s="4">
        <v>81</v>
      </c>
      <c r="O18" s="4">
        <v>81</v>
      </c>
      <c r="P18" s="5">
        <f t="shared" si="0"/>
        <v>81.900000000000006</v>
      </c>
      <c r="Q18" s="4">
        <v>0</v>
      </c>
      <c r="R18" s="4">
        <v>0</v>
      </c>
      <c r="S18" s="11">
        <v>0</v>
      </c>
      <c r="T18" s="13" t="s">
        <v>623</v>
      </c>
      <c r="U18" s="12" t="s">
        <v>71</v>
      </c>
      <c r="V18" s="4"/>
      <c r="W18" s="4"/>
      <c r="X18" s="4"/>
      <c r="Y18" s="11"/>
      <c r="Z18" s="13" t="s">
        <v>624</v>
      </c>
    </row>
    <row r="19" spans="1:26" x14ac:dyDescent="0.35">
      <c r="A19" s="4">
        <v>12</v>
      </c>
      <c r="B19" s="4" t="s">
        <v>132</v>
      </c>
      <c r="C19" s="4" t="s">
        <v>133</v>
      </c>
      <c r="D19" s="4">
        <v>4675</v>
      </c>
      <c r="E19" s="4">
        <v>85</v>
      </c>
      <c r="F19" s="4"/>
      <c r="G19" s="4">
        <v>85</v>
      </c>
      <c r="H19" s="4">
        <v>88</v>
      </c>
      <c r="I19" s="4">
        <v>88</v>
      </c>
      <c r="J19" s="4">
        <v>80</v>
      </c>
      <c r="K19" s="4">
        <v>86</v>
      </c>
      <c r="L19" s="4">
        <v>84</v>
      </c>
      <c r="M19" s="4">
        <v>82</v>
      </c>
      <c r="N19" s="4">
        <v>86</v>
      </c>
      <c r="O19" s="4">
        <v>86</v>
      </c>
      <c r="P19" s="5">
        <f t="shared" si="0"/>
        <v>85</v>
      </c>
      <c r="Q19" s="4">
        <v>1</v>
      </c>
      <c r="R19" s="4">
        <v>0</v>
      </c>
      <c r="S19" s="11">
        <v>0</v>
      </c>
      <c r="T19" s="13" t="s">
        <v>623</v>
      </c>
      <c r="U19" s="12" t="s">
        <v>71</v>
      </c>
      <c r="V19" s="4"/>
      <c r="W19" s="4"/>
      <c r="X19" s="4"/>
      <c r="Y19" s="11" t="s">
        <v>71</v>
      </c>
      <c r="Z19" s="13" t="s">
        <v>630</v>
      </c>
    </row>
    <row r="20" spans="1:26" x14ac:dyDescent="0.35">
      <c r="A20" s="4">
        <v>13</v>
      </c>
      <c r="B20" s="4" t="s">
        <v>134</v>
      </c>
      <c r="C20" s="4" t="s">
        <v>135</v>
      </c>
      <c r="D20" s="4">
        <v>4684</v>
      </c>
      <c r="E20" s="4">
        <v>89</v>
      </c>
      <c r="F20" s="4"/>
      <c r="G20" s="4">
        <v>87</v>
      </c>
      <c r="H20" s="4">
        <v>88</v>
      </c>
      <c r="I20" s="4">
        <v>88</v>
      </c>
      <c r="J20" s="4">
        <v>87</v>
      </c>
      <c r="K20" s="4">
        <v>86</v>
      </c>
      <c r="L20" s="4">
        <v>88</v>
      </c>
      <c r="M20" s="4">
        <v>87</v>
      </c>
      <c r="N20" s="4">
        <v>86</v>
      </c>
      <c r="O20" s="4">
        <v>90</v>
      </c>
      <c r="P20" s="5">
        <f t="shared" si="0"/>
        <v>87.6</v>
      </c>
      <c r="Q20" s="4">
        <v>0</v>
      </c>
      <c r="R20" s="4">
        <v>0</v>
      </c>
      <c r="S20" s="11">
        <v>0</v>
      </c>
      <c r="T20" s="13" t="s">
        <v>623</v>
      </c>
      <c r="U20" s="12" t="s">
        <v>71</v>
      </c>
      <c r="V20" s="4" t="s">
        <v>60</v>
      </c>
      <c r="W20" s="4" t="s">
        <v>60</v>
      </c>
      <c r="X20" s="4"/>
      <c r="Y20" s="11"/>
      <c r="Z20" s="13" t="s">
        <v>626</v>
      </c>
    </row>
    <row r="21" spans="1:26" x14ac:dyDescent="0.35">
      <c r="A21" s="4">
        <v>14</v>
      </c>
      <c r="B21" s="4" t="s">
        <v>136</v>
      </c>
      <c r="C21" s="4" t="s">
        <v>137</v>
      </c>
      <c r="D21" s="4">
        <v>4697</v>
      </c>
      <c r="E21" s="4"/>
      <c r="F21" s="4">
        <v>84</v>
      </c>
      <c r="G21" s="4">
        <v>82</v>
      </c>
      <c r="H21" s="4">
        <v>88</v>
      </c>
      <c r="I21" s="4">
        <v>84</v>
      </c>
      <c r="J21" s="4">
        <v>78</v>
      </c>
      <c r="K21" s="4">
        <v>85</v>
      </c>
      <c r="L21" s="4">
        <v>82</v>
      </c>
      <c r="M21" s="4">
        <v>85</v>
      </c>
      <c r="N21" s="4">
        <v>81</v>
      </c>
      <c r="O21" s="4">
        <v>81</v>
      </c>
      <c r="P21" s="5">
        <f t="shared" si="0"/>
        <v>83</v>
      </c>
      <c r="Q21" s="4">
        <v>0</v>
      </c>
      <c r="R21" s="4">
        <v>2</v>
      </c>
      <c r="S21" s="11">
        <v>1</v>
      </c>
      <c r="T21" s="13" t="s">
        <v>622</v>
      </c>
      <c r="U21" s="12" t="s">
        <v>71</v>
      </c>
      <c r="V21" s="4"/>
      <c r="W21" s="4"/>
      <c r="X21" s="4"/>
      <c r="Y21" s="11"/>
      <c r="Z21" s="13" t="s">
        <v>624</v>
      </c>
    </row>
    <row r="22" spans="1:26" x14ac:dyDescent="0.35">
      <c r="A22" s="4">
        <v>15</v>
      </c>
      <c r="B22" s="4" t="s">
        <v>138</v>
      </c>
      <c r="C22" s="4" t="s">
        <v>139</v>
      </c>
      <c r="D22" s="4">
        <v>4708</v>
      </c>
      <c r="E22" s="4">
        <v>84</v>
      </c>
      <c r="F22" s="4"/>
      <c r="G22" s="4">
        <v>86</v>
      </c>
      <c r="H22" s="4">
        <v>83</v>
      </c>
      <c r="I22" s="4">
        <v>85</v>
      </c>
      <c r="J22" s="4">
        <v>79</v>
      </c>
      <c r="K22" s="4">
        <v>85</v>
      </c>
      <c r="L22" s="4">
        <v>86</v>
      </c>
      <c r="M22" s="4">
        <v>85</v>
      </c>
      <c r="N22" s="4">
        <v>84</v>
      </c>
      <c r="O22" s="4">
        <v>83</v>
      </c>
      <c r="P22" s="5">
        <f t="shared" si="0"/>
        <v>84</v>
      </c>
      <c r="Q22" s="4">
        <v>1</v>
      </c>
      <c r="R22" s="4">
        <v>0</v>
      </c>
      <c r="S22" s="11">
        <v>0</v>
      </c>
      <c r="T22" s="13" t="s">
        <v>622</v>
      </c>
      <c r="U22" s="12" t="s">
        <v>71</v>
      </c>
      <c r="V22" s="4"/>
      <c r="W22" s="4"/>
      <c r="X22" s="4" t="s">
        <v>71</v>
      </c>
      <c r="Y22" s="11"/>
      <c r="Z22" s="13" t="s">
        <v>624</v>
      </c>
    </row>
    <row r="23" spans="1:26" x14ac:dyDescent="0.35">
      <c r="A23" s="4">
        <v>16</v>
      </c>
      <c r="B23" s="4" t="s">
        <v>140</v>
      </c>
      <c r="C23" s="4" t="s">
        <v>141</v>
      </c>
      <c r="D23" s="4">
        <v>4709</v>
      </c>
      <c r="E23" s="4">
        <v>80</v>
      </c>
      <c r="F23" s="4"/>
      <c r="G23" s="4">
        <v>85</v>
      </c>
      <c r="H23" s="4">
        <v>88</v>
      </c>
      <c r="I23" s="4">
        <v>84</v>
      </c>
      <c r="J23" s="4">
        <v>82</v>
      </c>
      <c r="K23" s="4">
        <v>86</v>
      </c>
      <c r="L23" s="4">
        <v>86</v>
      </c>
      <c r="M23" s="4">
        <v>83</v>
      </c>
      <c r="N23" s="4">
        <v>85</v>
      </c>
      <c r="O23" s="4">
        <v>81</v>
      </c>
      <c r="P23" s="5">
        <f t="shared" si="0"/>
        <v>84</v>
      </c>
      <c r="Q23" s="4">
        <v>1</v>
      </c>
      <c r="R23" s="4">
        <v>0</v>
      </c>
      <c r="S23" s="11">
        <v>0</v>
      </c>
      <c r="T23" s="13" t="s">
        <v>622</v>
      </c>
      <c r="U23" s="12" t="s">
        <v>71</v>
      </c>
      <c r="V23" s="4"/>
      <c r="W23" s="4" t="s">
        <v>60</v>
      </c>
      <c r="X23" s="4"/>
      <c r="Y23" s="11" t="s">
        <v>71</v>
      </c>
      <c r="Z23" s="13" t="s">
        <v>630</v>
      </c>
    </row>
    <row r="24" spans="1:26" x14ac:dyDescent="0.35">
      <c r="A24" s="4">
        <v>17</v>
      </c>
      <c r="B24" s="4" t="s">
        <v>142</v>
      </c>
      <c r="C24" s="4" t="s">
        <v>143</v>
      </c>
      <c r="D24" s="4">
        <v>4727</v>
      </c>
      <c r="E24" s="4">
        <v>90</v>
      </c>
      <c r="F24" s="4"/>
      <c r="G24" s="4">
        <v>87</v>
      </c>
      <c r="H24" s="4">
        <v>88</v>
      </c>
      <c r="I24" s="4">
        <v>86</v>
      </c>
      <c r="J24" s="4">
        <v>87</v>
      </c>
      <c r="K24" s="4">
        <v>86</v>
      </c>
      <c r="L24" s="4">
        <v>86</v>
      </c>
      <c r="M24" s="4">
        <v>83</v>
      </c>
      <c r="N24" s="4">
        <v>85</v>
      </c>
      <c r="O24" s="4">
        <v>87</v>
      </c>
      <c r="P24" s="5">
        <f t="shared" si="0"/>
        <v>86.5</v>
      </c>
      <c r="Q24" s="4">
        <v>0</v>
      </c>
      <c r="R24" s="4">
        <v>0</v>
      </c>
      <c r="S24" s="11">
        <v>0</v>
      </c>
      <c r="T24" s="13" t="s">
        <v>623</v>
      </c>
      <c r="U24" s="12" t="s">
        <v>71</v>
      </c>
      <c r="V24" s="4"/>
      <c r="W24" s="4"/>
      <c r="X24" s="4" t="s">
        <v>60</v>
      </c>
      <c r="Y24" s="11"/>
      <c r="Z24" s="13" t="s">
        <v>626</v>
      </c>
    </row>
    <row r="25" spans="1:26" x14ac:dyDescent="0.35">
      <c r="A25" s="4">
        <v>18</v>
      </c>
      <c r="B25" s="4" t="s">
        <v>144</v>
      </c>
      <c r="C25" s="4" t="s">
        <v>145</v>
      </c>
      <c r="D25" s="4">
        <v>4758</v>
      </c>
      <c r="E25" s="4">
        <v>85</v>
      </c>
      <c r="F25" s="4"/>
      <c r="G25" s="4">
        <v>84</v>
      </c>
      <c r="H25" s="4">
        <v>83</v>
      </c>
      <c r="I25" s="4">
        <v>84</v>
      </c>
      <c r="J25" s="4">
        <v>85</v>
      </c>
      <c r="K25" s="4">
        <v>86</v>
      </c>
      <c r="L25" s="4">
        <v>86</v>
      </c>
      <c r="M25" s="4">
        <v>84</v>
      </c>
      <c r="N25" s="4">
        <v>85</v>
      </c>
      <c r="O25" s="4">
        <v>84</v>
      </c>
      <c r="P25" s="5">
        <f t="shared" si="0"/>
        <v>84.6</v>
      </c>
      <c r="Q25" s="4">
        <v>0</v>
      </c>
      <c r="R25" s="4">
        <v>0</v>
      </c>
      <c r="S25" s="11">
        <v>0</v>
      </c>
      <c r="T25" s="13" t="s">
        <v>623</v>
      </c>
      <c r="U25" s="12" t="s">
        <v>71</v>
      </c>
      <c r="V25" s="4"/>
      <c r="W25" s="4"/>
      <c r="X25" s="4"/>
      <c r="Y25" s="11"/>
      <c r="Z25" s="13" t="s">
        <v>624</v>
      </c>
    </row>
    <row r="26" spans="1:26" x14ac:dyDescent="0.35">
      <c r="A26" s="4">
        <v>19</v>
      </c>
      <c r="B26" s="4" t="s">
        <v>146</v>
      </c>
      <c r="C26" s="4" t="s">
        <v>147</v>
      </c>
      <c r="D26" s="4">
        <v>4729</v>
      </c>
      <c r="E26" s="4">
        <v>80</v>
      </c>
      <c r="F26" s="4"/>
      <c r="G26" s="4">
        <v>86</v>
      </c>
      <c r="H26" s="4">
        <v>83</v>
      </c>
      <c r="I26" s="4">
        <v>85</v>
      </c>
      <c r="J26" s="4">
        <v>83</v>
      </c>
      <c r="K26" s="4">
        <v>86</v>
      </c>
      <c r="L26" s="4">
        <v>82</v>
      </c>
      <c r="M26" s="4">
        <v>79</v>
      </c>
      <c r="N26" s="4">
        <v>86</v>
      </c>
      <c r="O26" s="4">
        <v>83</v>
      </c>
      <c r="P26" s="5">
        <f t="shared" si="0"/>
        <v>83.3</v>
      </c>
      <c r="Q26" s="4">
        <v>1</v>
      </c>
      <c r="R26" s="4">
        <v>0</v>
      </c>
      <c r="S26" s="11">
        <v>0</v>
      </c>
      <c r="T26" s="13" t="s">
        <v>622</v>
      </c>
      <c r="U26" s="12" t="s">
        <v>71</v>
      </c>
      <c r="V26" s="4"/>
      <c r="W26" s="4"/>
      <c r="X26" s="4"/>
      <c r="Y26" s="11"/>
      <c r="Z26" s="13" t="s">
        <v>624</v>
      </c>
    </row>
    <row r="27" spans="1:26" x14ac:dyDescent="0.35">
      <c r="A27" s="4">
        <v>20</v>
      </c>
      <c r="B27" s="4" t="s">
        <v>148</v>
      </c>
      <c r="C27" s="4" t="s">
        <v>149</v>
      </c>
      <c r="D27" s="4">
        <v>4744</v>
      </c>
      <c r="E27" s="4">
        <v>84</v>
      </c>
      <c r="F27" s="4"/>
      <c r="G27" s="4">
        <v>85</v>
      </c>
      <c r="H27" s="4">
        <v>83</v>
      </c>
      <c r="I27" s="4">
        <v>84</v>
      </c>
      <c r="J27" s="4">
        <v>80</v>
      </c>
      <c r="K27" s="4">
        <v>86</v>
      </c>
      <c r="L27" s="4">
        <v>82</v>
      </c>
      <c r="M27" s="4">
        <v>80</v>
      </c>
      <c r="N27" s="4">
        <v>81</v>
      </c>
      <c r="O27" s="4">
        <v>83</v>
      </c>
      <c r="P27" s="5">
        <f t="shared" si="0"/>
        <v>82.8</v>
      </c>
      <c r="Q27" s="4">
        <v>0</v>
      </c>
      <c r="R27" s="4">
        <v>0</v>
      </c>
      <c r="S27" s="11">
        <v>0</v>
      </c>
      <c r="T27" s="13" t="s">
        <v>622</v>
      </c>
      <c r="U27" s="12" t="s">
        <v>71</v>
      </c>
      <c r="V27" s="4"/>
      <c r="W27" s="4"/>
      <c r="X27" s="4"/>
      <c r="Y27" s="11"/>
      <c r="Z27" s="13" t="s">
        <v>624</v>
      </c>
    </row>
    <row r="28" spans="1:26" x14ac:dyDescent="0.35">
      <c r="A28" s="4">
        <v>21</v>
      </c>
      <c r="B28" s="4" t="s">
        <v>150</v>
      </c>
      <c r="C28" s="4" t="s">
        <v>151</v>
      </c>
      <c r="D28" s="4">
        <v>4750</v>
      </c>
      <c r="E28" s="4">
        <v>80</v>
      </c>
      <c r="F28" s="4"/>
      <c r="G28" s="4">
        <v>79</v>
      </c>
      <c r="H28" s="4">
        <v>83</v>
      </c>
      <c r="I28" s="4">
        <v>80</v>
      </c>
      <c r="J28" s="4">
        <v>79</v>
      </c>
      <c r="K28" s="4">
        <v>83</v>
      </c>
      <c r="L28" s="4">
        <v>79</v>
      </c>
      <c r="M28" s="4">
        <v>80</v>
      </c>
      <c r="N28" s="4">
        <v>79</v>
      </c>
      <c r="O28" s="4">
        <v>77</v>
      </c>
      <c r="P28" s="5">
        <f t="shared" si="0"/>
        <v>79.900000000000006</v>
      </c>
      <c r="Q28" s="4">
        <v>1</v>
      </c>
      <c r="R28" s="4">
        <v>1</v>
      </c>
      <c r="S28" s="11">
        <v>3</v>
      </c>
      <c r="T28" s="13" t="s">
        <v>622</v>
      </c>
      <c r="U28" s="12" t="s">
        <v>71</v>
      </c>
      <c r="V28" s="4"/>
      <c r="W28" s="4"/>
      <c r="X28" s="4"/>
      <c r="Y28" s="11"/>
      <c r="Z28" s="13" t="s">
        <v>624</v>
      </c>
    </row>
    <row r="29" spans="1:26" x14ac:dyDescent="0.35">
      <c r="A29" s="4">
        <v>22</v>
      </c>
      <c r="B29" s="4" t="s">
        <v>152</v>
      </c>
      <c r="C29" s="4" t="s">
        <v>153</v>
      </c>
      <c r="D29" s="4">
        <v>4765</v>
      </c>
      <c r="E29" s="4">
        <v>80</v>
      </c>
      <c r="F29" s="4"/>
      <c r="G29" s="4">
        <v>83</v>
      </c>
      <c r="H29" s="4">
        <v>88</v>
      </c>
      <c r="I29" s="4">
        <v>84</v>
      </c>
      <c r="J29" s="4">
        <v>79</v>
      </c>
      <c r="K29" s="4">
        <v>86</v>
      </c>
      <c r="L29" s="4">
        <v>84</v>
      </c>
      <c r="M29" s="4">
        <v>83</v>
      </c>
      <c r="N29" s="4">
        <v>81</v>
      </c>
      <c r="O29" s="4">
        <v>83</v>
      </c>
      <c r="P29" s="5">
        <f t="shared" si="0"/>
        <v>83.1</v>
      </c>
      <c r="Q29" s="4">
        <v>1</v>
      </c>
      <c r="R29" s="4">
        <v>0</v>
      </c>
      <c r="S29" s="11">
        <v>0</v>
      </c>
      <c r="T29" s="13" t="s">
        <v>622</v>
      </c>
      <c r="U29" s="12" t="s">
        <v>60</v>
      </c>
      <c r="V29" s="4"/>
      <c r="W29" s="4"/>
      <c r="X29" s="4"/>
      <c r="Y29" s="11"/>
      <c r="Z29" s="13" t="s">
        <v>624</v>
      </c>
    </row>
    <row r="30" spans="1:26" x14ac:dyDescent="0.35">
      <c r="A30" s="4">
        <v>23</v>
      </c>
      <c r="B30" s="4" t="s">
        <v>154</v>
      </c>
      <c r="C30" s="4" t="s">
        <v>155</v>
      </c>
      <c r="D30" s="4">
        <v>4775</v>
      </c>
      <c r="E30" s="4"/>
      <c r="F30" s="4">
        <v>85</v>
      </c>
      <c r="G30" s="4">
        <v>83</v>
      </c>
      <c r="H30" s="4">
        <v>83</v>
      </c>
      <c r="I30" s="4">
        <v>80</v>
      </c>
      <c r="J30" s="4">
        <v>79</v>
      </c>
      <c r="K30" s="4">
        <v>85</v>
      </c>
      <c r="L30" s="4">
        <v>80</v>
      </c>
      <c r="M30" s="4">
        <v>80</v>
      </c>
      <c r="N30" s="4">
        <v>79</v>
      </c>
      <c r="O30" s="4">
        <v>81</v>
      </c>
      <c r="P30" s="5">
        <f t="shared" si="0"/>
        <v>81.5</v>
      </c>
      <c r="Q30" s="4">
        <v>0</v>
      </c>
      <c r="R30" s="4">
        <v>1</v>
      </c>
      <c r="S30" s="11">
        <v>0</v>
      </c>
      <c r="T30" s="13" t="s">
        <v>622</v>
      </c>
      <c r="U30" s="12" t="s">
        <v>71</v>
      </c>
      <c r="V30" s="4"/>
      <c r="W30" s="4"/>
      <c r="X30" s="4"/>
      <c r="Y30" s="11"/>
      <c r="Z30" s="13" t="s">
        <v>624</v>
      </c>
    </row>
    <row r="31" spans="1:26" x14ac:dyDescent="0.35">
      <c r="A31" s="4">
        <v>24</v>
      </c>
      <c r="B31" s="4" t="s">
        <v>156</v>
      </c>
      <c r="C31" s="4" t="s">
        <v>157</v>
      </c>
      <c r="D31" s="4">
        <v>4783</v>
      </c>
      <c r="E31" s="4">
        <v>88</v>
      </c>
      <c r="F31" s="4"/>
      <c r="G31" s="4">
        <v>85</v>
      </c>
      <c r="H31" s="4">
        <v>88</v>
      </c>
      <c r="I31" s="4">
        <v>82</v>
      </c>
      <c r="J31" s="4">
        <v>84</v>
      </c>
      <c r="K31" s="4">
        <v>85</v>
      </c>
      <c r="L31" s="4">
        <v>82</v>
      </c>
      <c r="M31" s="4">
        <v>80</v>
      </c>
      <c r="N31" s="4">
        <v>82</v>
      </c>
      <c r="O31" s="4">
        <v>83</v>
      </c>
      <c r="P31" s="5">
        <f t="shared" si="0"/>
        <v>83.9</v>
      </c>
      <c r="Q31" s="4">
        <v>1</v>
      </c>
      <c r="R31" s="4">
        <v>0</v>
      </c>
      <c r="S31" s="11">
        <v>0</v>
      </c>
      <c r="T31" s="13" t="s">
        <v>622</v>
      </c>
      <c r="U31" s="12" t="s">
        <v>60</v>
      </c>
      <c r="V31" s="4"/>
      <c r="W31" s="4" t="s">
        <v>71</v>
      </c>
      <c r="X31" s="4"/>
      <c r="Y31" s="11"/>
      <c r="Z31" s="13" t="s">
        <v>626</v>
      </c>
    </row>
    <row r="32" spans="1:26" x14ac:dyDescent="0.35">
      <c r="A32" s="4">
        <v>25</v>
      </c>
      <c r="B32" s="4" t="s">
        <v>158</v>
      </c>
      <c r="C32" s="4" t="s">
        <v>159</v>
      </c>
      <c r="D32" s="4">
        <v>4790</v>
      </c>
      <c r="E32" s="4">
        <v>87</v>
      </c>
      <c r="F32" s="4"/>
      <c r="G32" s="4">
        <v>84</v>
      </c>
      <c r="H32" s="4">
        <v>83</v>
      </c>
      <c r="I32" s="4">
        <v>84</v>
      </c>
      <c r="J32" s="4">
        <v>79</v>
      </c>
      <c r="K32" s="4">
        <v>85</v>
      </c>
      <c r="L32" s="4">
        <v>82</v>
      </c>
      <c r="M32" s="4">
        <v>85</v>
      </c>
      <c r="N32" s="4">
        <v>81</v>
      </c>
      <c r="O32" s="4">
        <v>81</v>
      </c>
      <c r="P32" s="5">
        <f t="shared" si="0"/>
        <v>83.1</v>
      </c>
      <c r="Q32" s="4">
        <v>1</v>
      </c>
      <c r="R32" s="4">
        <v>1</v>
      </c>
      <c r="S32" s="11">
        <v>0</v>
      </c>
      <c r="T32" s="13" t="s">
        <v>622</v>
      </c>
      <c r="U32" s="12" t="s">
        <v>71</v>
      </c>
      <c r="V32" s="4"/>
      <c r="W32" s="4"/>
      <c r="X32" s="4"/>
      <c r="Y32" s="11"/>
      <c r="Z32" s="13" t="s">
        <v>624</v>
      </c>
    </row>
    <row r="33" spans="1:26" x14ac:dyDescent="0.35">
      <c r="A33" s="4">
        <v>26</v>
      </c>
      <c r="B33" s="4" t="s">
        <v>160</v>
      </c>
      <c r="C33" s="4" t="s">
        <v>161</v>
      </c>
      <c r="D33" s="4">
        <v>4801</v>
      </c>
      <c r="E33" s="4">
        <v>76</v>
      </c>
      <c r="F33" s="4"/>
      <c r="G33" s="4">
        <v>80</v>
      </c>
      <c r="H33" s="4">
        <v>83</v>
      </c>
      <c r="I33" s="4">
        <v>78</v>
      </c>
      <c r="J33" s="4">
        <v>79</v>
      </c>
      <c r="K33" s="4">
        <v>80</v>
      </c>
      <c r="L33" s="4">
        <v>79</v>
      </c>
      <c r="M33" s="4">
        <v>79</v>
      </c>
      <c r="N33" s="4">
        <v>79</v>
      </c>
      <c r="O33" s="4">
        <v>79</v>
      </c>
      <c r="P33" s="5">
        <f t="shared" si="0"/>
        <v>79.2</v>
      </c>
      <c r="Q33" s="4">
        <v>0</v>
      </c>
      <c r="R33" s="4">
        <v>0</v>
      </c>
      <c r="S33" s="11">
        <v>4</v>
      </c>
      <c r="T33" s="13" t="s">
        <v>622</v>
      </c>
      <c r="U33" s="12" t="s">
        <v>71</v>
      </c>
      <c r="V33" s="4"/>
      <c r="W33" s="4"/>
      <c r="X33" s="4"/>
      <c r="Y33" s="11"/>
      <c r="Z33" s="13" t="s">
        <v>624</v>
      </c>
    </row>
    <row r="34" spans="1:26" x14ac:dyDescent="0.35">
      <c r="A34" s="4">
        <v>27</v>
      </c>
      <c r="B34" s="4" t="s">
        <v>162</v>
      </c>
      <c r="C34" s="4" t="s">
        <v>163</v>
      </c>
      <c r="D34" s="4">
        <v>4803</v>
      </c>
      <c r="E34" s="4">
        <v>82</v>
      </c>
      <c r="F34" s="4"/>
      <c r="G34" s="4">
        <v>85</v>
      </c>
      <c r="H34" s="4">
        <v>83</v>
      </c>
      <c r="I34" s="4">
        <v>84</v>
      </c>
      <c r="J34" s="4">
        <v>79</v>
      </c>
      <c r="K34" s="4">
        <v>85</v>
      </c>
      <c r="L34" s="4">
        <v>80</v>
      </c>
      <c r="M34" s="4">
        <v>79</v>
      </c>
      <c r="N34" s="4">
        <v>81</v>
      </c>
      <c r="O34" s="4">
        <v>82</v>
      </c>
      <c r="P34" s="5">
        <f t="shared" si="0"/>
        <v>82</v>
      </c>
      <c r="Q34" s="4">
        <v>0</v>
      </c>
      <c r="R34" s="4">
        <v>0</v>
      </c>
      <c r="S34" s="11">
        <v>0</v>
      </c>
      <c r="T34" s="13" t="s">
        <v>623</v>
      </c>
      <c r="U34" s="12" t="s">
        <v>71</v>
      </c>
      <c r="V34" s="4"/>
      <c r="W34" s="4"/>
      <c r="X34" s="4"/>
      <c r="Y34" s="11"/>
      <c r="Z34" s="13" t="s">
        <v>624</v>
      </c>
    </row>
    <row r="35" spans="1:26" x14ac:dyDescent="0.35">
      <c r="A35" s="4">
        <v>28</v>
      </c>
      <c r="B35" s="4" t="s">
        <v>164</v>
      </c>
      <c r="C35" s="4" t="s">
        <v>165</v>
      </c>
      <c r="D35" s="4">
        <v>4817</v>
      </c>
      <c r="E35" s="4">
        <v>80</v>
      </c>
      <c r="F35" s="4"/>
      <c r="G35" s="4">
        <v>87</v>
      </c>
      <c r="H35" s="4">
        <v>88</v>
      </c>
      <c r="I35" s="4">
        <v>82</v>
      </c>
      <c r="J35" s="4">
        <v>84</v>
      </c>
      <c r="K35" s="4">
        <v>85</v>
      </c>
      <c r="L35" s="4">
        <v>84</v>
      </c>
      <c r="M35" s="4">
        <v>83</v>
      </c>
      <c r="N35" s="4">
        <v>84</v>
      </c>
      <c r="O35" s="4">
        <v>85</v>
      </c>
      <c r="P35" s="5">
        <f t="shared" si="0"/>
        <v>84.2</v>
      </c>
      <c r="Q35" s="4">
        <v>0</v>
      </c>
      <c r="R35" s="4">
        <v>0</v>
      </c>
      <c r="S35" s="11">
        <v>0</v>
      </c>
      <c r="T35" s="13" t="s">
        <v>623</v>
      </c>
      <c r="U35" s="12" t="s">
        <v>71</v>
      </c>
      <c r="V35" s="4"/>
      <c r="W35" s="4"/>
      <c r="X35" s="4"/>
      <c r="Y35" s="11"/>
      <c r="Z35" s="13" t="s">
        <v>624</v>
      </c>
    </row>
    <row r="36" spans="1:26" x14ac:dyDescent="0.35">
      <c r="A36" s="4">
        <v>29</v>
      </c>
      <c r="B36" s="4" t="s">
        <v>166</v>
      </c>
      <c r="C36" s="4" t="s">
        <v>167</v>
      </c>
      <c r="D36" s="4">
        <v>4819</v>
      </c>
      <c r="E36" s="4">
        <v>82</v>
      </c>
      <c r="F36" s="4"/>
      <c r="G36" s="4">
        <v>84</v>
      </c>
      <c r="H36" s="4">
        <v>88</v>
      </c>
      <c r="I36" s="4">
        <v>82</v>
      </c>
      <c r="J36" s="4">
        <v>82</v>
      </c>
      <c r="K36" s="4">
        <v>85</v>
      </c>
      <c r="L36" s="4">
        <v>82</v>
      </c>
      <c r="M36" s="4">
        <v>80</v>
      </c>
      <c r="N36" s="4">
        <v>81</v>
      </c>
      <c r="O36" s="4">
        <v>81</v>
      </c>
      <c r="P36" s="5">
        <f t="shared" si="0"/>
        <v>82.7</v>
      </c>
      <c r="Q36" s="4">
        <v>1</v>
      </c>
      <c r="R36" s="4">
        <v>0</v>
      </c>
      <c r="S36" s="11">
        <v>0</v>
      </c>
      <c r="T36" s="13" t="s">
        <v>622</v>
      </c>
      <c r="U36" s="12" t="s">
        <v>71</v>
      </c>
      <c r="V36" s="4"/>
      <c r="W36" s="4"/>
      <c r="X36" s="4"/>
      <c r="Y36" s="11"/>
      <c r="Z36" s="13" t="s">
        <v>624</v>
      </c>
    </row>
    <row r="37" spans="1:26" x14ac:dyDescent="0.35">
      <c r="A37" s="4">
        <v>30</v>
      </c>
      <c r="B37" s="4" t="s">
        <v>168</v>
      </c>
      <c r="C37" s="4" t="s">
        <v>169</v>
      </c>
      <c r="D37" s="4">
        <v>4821</v>
      </c>
      <c r="E37" s="4">
        <v>80</v>
      </c>
      <c r="F37" s="4"/>
      <c r="G37" s="4">
        <v>81</v>
      </c>
      <c r="H37" s="4">
        <v>83</v>
      </c>
      <c r="I37" s="4">
        <v>78</v>
      </c>
      <c r="J37" s="4">
        <v>80</v>
      </c>
      <c r="K37" s="4">
        <v>83</v>
      </c>
      <c r="L37" s="4">
        <v>79</v>
      </c>
      <c r="M37" s="4">
        <v>79</v>
      </c>
      <c r="N37" s="4">
        <v>79</v>
      </c>
      <c r="O37" s="4">
        <v>75</v>
      </c>
      <c r="P37" s="5">
        <f t="shared" si="0"/>
        <v>79.7</v>
      </c>
      <c r="Q37" s="4">
        <v>0</v>
      </c>
      <c r="R37" s="4">
        <v>0</v>
      </c>
      <c r="S37" s="11">
        <v>3</v>
      </c>
      <c r="T37" s="13" t="s">
        <v>622</v>
      </c>
      <c r="U37" s="12" t="s">
        <v>71</v>
      </c>
      <c r="V37" s="4"/>
      <c r="W37" s="4"/>
      <c r="X37" s="4"/>
      <c r="Y37" s="11"/>
      <c r="Z37" s="13" t="s">
        <v>624</v>
      </c>
    </row>
    <row r="38" spans="1:26" x14ac:dyDescent="0.35">
      <c r="A38" s="4">
        <v>31</v>
      </c>
      <c r="B38" s="4" t="s">
        <v>170</v>
      </c>
      <c r="C38" s="4" t="s">
        <v>171</v>
      </c>
      <c r="D38" s="4">
        <v>4831</v>
      </c>
      <c r="E38" s="4">
        <v>85</v>
      </c>
      <c r="F38" s="4"/>
      <c r="G38" s="4">
        <v>83</v>
      </c>
      <c r="H38" s="4">
        <v>83</v>
      </c>
      <c r="I38" s="4">
        <v>85</v>
      </c>
      <c r="J38" s="4">
        <v>82</v>
      </c>
      <c r="K38" s="4">
        <v>84</v>
      </c>
      <c r="L38" s="4">
        <v>80</v>
      </c>
      <c r="M38" s="4">
        <v>80</v>
      </c>
      <c r="N38" s="4">
        <v>81</v>
      </c>
      <c r="O38" s="4">
        <v>82</v>
      </c>
      <c r="P38" s="5">
        <f t="shared" si="0"/>
        <v>82.5</v>
      </c>
      <c r="Q38" s="4">
        <v>1</v>
      </c>
      <c r="R38" s="4">
        <v>0</v>
      </c>
      <c r="S38" s="11">
        <v>0</v>
      </c>
      <c r="T38" s="13" t="s">
        <v>622</v>
      </c>
      <c r="U38" s="12" t="s">
        <v>71</v>
      </c>
      <c r="V38" s="4"/>
      <c r="W38" s="4"/>
      <c r="X38" s="4" t="s">
        <v>71</v>
      </c>
      <c r="Y38" s="11"/>
      <c r="Z38" s="13" t="s">
        <v>624</v>
      </c>
    </row>
    <row r="39" spans="1:26" x14ac:dyDescent="0.35">
      <c r="A39" s="4">
        <v>32</v>
      </c>
      <c r="B39" s="4" t="s">
        <v>172</v>
      </c>
      <c r="C39" s="4" t="s">
        <v>173</v>
      </c>
      <c r="D39" s="4">
        <v>4835</v>
      </c>
      <c r="E39" s="4">
        <v>87</v>
      </c>
      <c r="F39" s="4"/>
      <c r="G39" s="4">
        <v>83</v>
      </c>
      <c r="H39" s="4">
        <v>88</v>
      </c>
      <c r="I39" s="4">
        <v>85</v>
      </c>
      <c r="J39" s="4">
        <v>80</v>
      </c>
      <c r="K39" s="4">
        <v>85</v>
      </c>
      <c r="L39" s="4">
        <v>88</v>
      </c>
      <c r="M39" s="4">
        <v>83</v>
      </c>
      <c r="N39" s="4">
        <v>84</v>
      </c>
      <c r="O39" s="4">
        <v>84</v>
      </c>
      <c r="P39" s="5">
        <f t="shared" si="0"/>
        <v>84.7</v>
      </c>
      <c r="Q39" s="4">
        <v>1</v>
      </c>
      <c r="R39" s="4">
        <v>0</v>
      </c>
      <c r="S39" s="11">
        <v>0</v>
      </c>
      <c r="T39" s="13" t="s">
        <v>623</v>
      </c>
      <c r="U39" s="12" t="s">
        <v>71</v>
      </c>
      <c r="V39" s="4" t="s">
        <v>60</v>
      </c>
      <c r="W39" s="4"/>
      <c r="X39" s="4"/>
      <c r="Y39" s="11"/>
      <c r="Z39" s="13" t="s">
        <v>624</v>
      </c>
    </row>
    <row r="40" spans="1:26" x14ac:dyDescent="0.35">
      <c r="A40" s="4">
        <v>33</v>
      </c>
      <c r="B40" s="4" t="s">
        <v>174</v>
      </c>
      <c r="C40" s="4" t="s">
        <v>175</v>
      </c>
      <c r="D40" s="4">
        <v>4839</v>
      </c>
      <c r="E40" s="4">
        <v>80</v>
      </c>
      <c r="F40" s="4"/>
      <c r="G40" s="4">
        <v>10</v>
      </c>
      <c r="H40" s="4">
        <v>10</v>
      </c>
      <c r="I40" s="4">
        <v>20</v>
      </c>
      <c r="J40" s="4">
        <v>79</v>
      </c>
      <c r="K40" s="4">
        <v>15</v>
      </c>
      <c r="L40" s="4">
        <v>20</v>
      </c>
      <c r="M40" s="4">
        <v>80</v>
      </c>
      <c r="N40" s="4">
        <v>10</v>
      </c>
      <c r="O40" s="4">
        <v>30</v>
      </c>
      <c r="P40" s="5">
        <f t="shared" si="0"/>
        <v>35.4</v>
      </c>
      <c r="Q40" s="4">
        <v>0</v>
      </c>
      <c r="R40" s="4">
        <v>0</v>
      </c>
      <c r="S40" s="11">
        <v>0</v>
      </c>
      <c r="T40" s="19" t="s">
        <v>635</v>
      </c>
      <c r="U40" s="12" t="s">
        <v>71</v>
      </c>
      <c r="V40" s="4"/>
      <c r="W40" s="4"/>
      <c r="X40" s="4"/>
      <c r="Y40" s="11"/>
      <c r="Z40" s="13" t="s">
        <v>624</v>
      </c>
    </row>
    <row r="41" spans="1:26" x14ac:dyDescent="0.35">
      <c r="A41" s="4">
        <v>34</v>
      </c>
      <c r="B41" s="4" t="s">
        <v>176</v>
      </c>
      <c r="C41" s="4" t="s">
        <v>177</v>
      </c>
      <c r="D41" s="4">
        <v>4851</v>
      </c>
      <c r="E41" s="4">
        <v>78</v>
      </c>
      <c r="F41" s="4"/>
      <c r="G41" s="4">
        <v>84</v>
      </c>
      <c r="H41" s="4">
        <v>83</v>
      </c>
      <c r="I41" s="4">
        <v>84</v>
      </c>
      <c r="J41" s="4">
        <v>80</v>
      </c>
      <c r="K41" s="4">
        <v>86</v>
      </c>
      <c r="L41" s="4">
        <v>82</v>
      </c>
      <c r="M41" s="4">
        <v>84</v>
      </c>
      <c r="N41" s="4">
        <v>81</v>
      </c>
      <c r="O41" s="4">
        <v>80</v>
      </c>
      <c r="P41" s="5">
        <f t="shared" si="0"/>
        <v>82.2</v>
      </c>
      <c r="Q41" s="4">
        <v>2</v>
      </c>
      <c r="R41" s="4">
        <v>0</v>
      </c>
      <c r="S41" s="11">
        <v>0</v>
      </c>
      <c r="T41" s="13" t="s">
        <v>622</v>
      </c>
      <c r="U41" s="12" t="s">
        <v>71</v>
      </c>
      <c r="V41" s="4"/>
      <c r="W41" s="4"/>
      <c r="X41" s="4"/>
      <c r="Y41" s="11"/>
      <c r="Z41" s="13" t="s">
        <v>624</v>
      </c>
    </row>
    <row r="42" spans="1:26" x14ac:dyDescent="0.35">
      <c r="A42" s="4">
        <v>35</v>
      </c>
      <c r="B42" s="4" t="s">
        <v>178</v>
      </c>
      <c r="C42" s="4" t="s">
        <v>179</v>
      </c>
      <c r="D42" s="4">
        <v>4855</v>
      </c>
      <c r="E42" s="4">
        <v>85</v>
      </c>
      <c r="F42" s="4"/>
      <c r="G42" s="4">
        <v>86</v>
      </c>
      <c r="H42" s="4">
        <v>88</v>
      </c>
      <c r="I42" s="4">
        <v>85</v>
      </c>
      <c r="J42" s="4">
        <v>82</v>
      </c>
      <c r="K42" s="4">
        <v>86</v>
      </c>
      <c r="L42" s="4">
        <v>86</v>
      </c>
      <c r="M42" s="4">
        <v>84</v>
      </c>
      <c r="N42" s="4">
        <v>84</v>
      </c>
      <c r="O42" s="4">
        <v>84</v>
      </c>
      <c r="P42" s="5">
        <f t="shared" si="0"/>
        <v>85</v>
      </c>
      <c r="Q42" s="4">
        <v>1</v>
      </c>
      <c r="R42" s="4">
        <v>0</v>
      </c>
      <c r="S42" s="11">
        <v>0</v>
      </c>
      <c r="T42" s="13" t="s">
        <v>623</v>
      </c>
      <c r="U42" s="12" t="s">
        <v>71</v>
      </c>
      <c r="V42" s="4"/>
      <c r="W42" s="4"/>
      <c r="X42" s="4"/>
      <c r="Y42" s="11"/>
      <c r="Z42" s="13" t="s">
        <v>626</v>
      </c>
    </row>
    <row r="43" spans="1:26" x14ac:dyDescent="0.35">
      <c r="A43" s="4">
        <v>36</v>
      </c>
      <c r="B43" s="4" t="s">
        <v>180</v>
      </c>
      <c r="C43" s="4" t="s">
        <v>181</v>
      </c>
      <c r="D43" s="4">
        <v>4869</v>
      </c>
      <c r="E43" s="4">
        <v>80</v>
      </c>
      <c r="F43" s="4"/>
      <c r="G43" s="4">
        <v>81</v>
      </c>
      <c r="H43" s="4">
        <v>83</v>
      </c>
      <c r="I43" s="4">
        <v>79</v>
      </c>
      <c r="J43" s="4">
        <v>82</v>
      </c>
      <c r="K43" s="4">
        <v>86</v>
      </c>
      <c r="L43" s="4">
        <v>84</v>
      </c>
      <c r="M43" s="4">
        <v>82</v>
      </c>
      <c r="N43" s="4">
        <v>82</v>
      </c>
      <c r="O43" s="4">
        <v>79</v>
      </c>
      <c r="P43" s="5">
        <f t="shared" si="0"/>
        <v>81.8</v>
      </c>
      <c r="Q43" s="4">
        <v>0</v>
      </c>
      <c r="R43" s="4">
        <v>0</v>
      </c>
      <c r="S43" s="11">
        <v>1</v>
      </c>
      <c r="T43" s="13" t="s">
        <v>622</v>
      </c>
      <c r="U43" s="12" t="s">
        <v>60</v>
      </c>
      <c r="V43" s="4"/>
      <c r="W43" s="4"/>
      <c r="X43" s="4" t="s">
        <v>71</v>
      </c>
      <c r="Y43" s="11"/>
      <c r="Z43" s="13" t="s">
        <v>624</v>
      </c>
    </row>
  </sheetData>
  <mergeCells count="25">
    <mergeCell ref="Z4:Z7"/>
    <mergeCell ref="U4:Y4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Q4:S6"/>
    <mergeCell ref="U5:U7"/>
    <mergeCell ref="V5:V7"/>
    <mergeCell ref="W5:W7"/>
    <mergeCell ref="X5:X7"/>
    <mergeCell ref="Y5:Y7"/>
    <mergeCell ref="A4:A7"/>
    <mergeCell ref="B4:B7"/>
    <mergeCell ref="C4:C7"/>
    <mergeCell ref="D4:D7"/>
    <mergeCell ref="E4:P4"/>
    <mergeCell ref="N5:N7"/>
    <mergeCell ref="O5:O7"/>
    <mergeCell ref="P5:P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B392-BE54-495B-9373-B89DA577EF3E}">
  <dimension ref="A1:Z43"/>
  <sheetViews>
    <sheetView topLeftCell="D26" workbookViewId="0">
      <selection activeCell="AD39" sqref="AD39"/>
    </sheetView>
  </sheetViews>
  <sheetFormatPr defaultRowHeight="14.5" x14ac:dyDescent="0.35"/>
  <cols>
    <col min="1" max="1" width="4" customWidth="1"/>
    <col min="2" max="2" width="28.7265625" bestFit="1" customWidth="1"/>
    <col min="3" max="3" width="11.1796875" customWidth="1"/>
    <col min="4" max="4" width="5" bestFit="1" customWidth="1"/>
    <col min="5" max="15" width="5" customWidth="1"/>
    <col min="16" max="16" width="5.81640625" customWidth="1"/>
    <col min="17" max="19" width="5" customWidth="1"/>
    <col min="20" max="20" width="11.7265625" customWidth="1"/>
    <col min="21" max="25" width="5" customWidth="1"/>
    <col min="26" max="26" width="10.90625" customWidth="1"/>
  </cols>
  <sheetData>
    <row r="1" spans="1:2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x14ac:dyDescent="0.35">
      <c r="A3" s="2" t="s">
        <v>3</v>
      </c>
      <c r="B3" s="2"/>
      <c r="C3" s="2" t="s">
        <v>254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x14ac:dyDescent="0.3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 t="s">
        <v>10</v>
      </c>
      <c r="R4" s="15"/>
      <c r="S4" s="16"/>
      <c r="T4" s="7"/>
      <c r="U4" s="18" t="s">
        <v>11</v>
      </c>
      <c r="V4" s="15"/>
      <c r="W4" s="15"/>
      <c r="X4" s="15"/>
      <c r="Y4" s="15"/>
      <c r="Z4" s="15" t="s">
        <v>629</v>
      </c>
    </row>
    <row r="5" spans="1:26" x14ac:dyDescent="0.35">
      <c r="A5" s="15"/>
      <c r="B5" s="15"/>
      <c r="C5" s="15"/>
      <c r="D5" s="15"/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  <c r="M5" s="15" t="s">
        <v>20</v>
      </c>
      <c r="N5" s="15" t="s">
        <v>21</v>
      </c>
      <c r="O5" s="15" t="s">
        <v>22</v>
      </c>
      <c r="P5" s="15" t="s">
        <v>106</v>
      </c>
      <c r="Q5" s="15"/>
      <c r="R5" s="15"/>
      <c r="S5" s="16"/>
      <c r="T5" s="8" t="s">
        <v>548</v>
      </c>
      <c r="U5" s="18" t="s">
        <v>23</v>
      </c>
      <c r="V5" s="15" t="s">
        <v>108</v>
      </c>
      <c r="W5" s="15" t="s">
        <v>25</v>
      </c>
      <c r="X5" s="15" t="s">
        <v>26</v>
      </c>
      <c r="Y5" s="15" t="s">
        <v>28</v>
      </c>
      <c r="Z5" s="15"/>
    </row>
    <row r="6" spans="1:26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8"/>
      <c r="U6" s="18"/>
      <c r="V6" s="15"/>
      <c r="W6" s="15"/>
      <c r="X6" s="15"/>
      <c r="Y6" s="15"/>
      <c r="Z6" s="15"/>
    </row>
    <row r="7" spans="1:26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" t="s">
        <v>29</v>
      </c>
      <c r="R7" s="3" t="s">
        <v>30</v>
      </c>
      <c r="S7" s="6" t="s">
        <v>31</v>
      </c>
      <c r="T7" s="9"/>
      <c r="U7" s="18"/>
      <c r="V7" s="15"/>
      <c r="W7" s="15"/>
      <c r="X7" s="15"/>
      <c r="Y7" s="15"/>
      <c r="Z7" s="17"/>
    </row>
    <row r="8" spans="1:26" x14ac:dyDescent="0.35">
      <c r="A8" s="4">
        <v>1</v>
      </c>
      <c r="B8" s="4" t="s">
        <v>253</v>
      </c>
      <c r="C8" s="4" t="s">
        <v>252</v>
      </c>
      <c r="D8" s="4">
        <v>4587</v>
      </c>
      <c r="E8" s="4">
        <v>80</v>
      </c>
      <c r="F8" s="4"/>
      <c r="G8" s="4">
        <v>83</v>
      </c>
      <c r="H8" s="4">
        <v>80</v>
      </c>
      <c r="I8" s="4">
        <v>83</v>
      </c>
      <c r="J8" s="4">
        <v>82</v>
      </c>
      <c r="K8" s="4">
        <v>86</v>
      </c>
      <c r="L8" s="4">
        <v>84</v>
      </c>
      <c r="M8" s="4">
        <v>84</v>
      </c>
      <c r="N8" s="4">
        <v>81</v>
      </c>
      <c r="O8" s="4">
        <v>80</v>
      </c>
      <c r="P8" s="5">
        <f t="shared" ref="P8:P43" si="0">AVERAGE(E8:O8)</f>
        <v>82.3</v>
      </c>
      <c r="Q8" s="4">
        <v>1</v>
      </c>
      <c r="R8" s="4">
        <v>0</v>
      </c>
      <c r="S8" s="4">
        <v>0</v>
      </c>
      <c r="T8" s="13" t="s">
        <v>622</v>
      </c>
      <c r="U8" s="4" t="s">
        <v>71</v>
      </c>
      <c r="V8" s="4"/>
      <c r="W8" s="4"/>
      <c r="X8" s="4"/>
      <c r="Y8" s="11"/>
      <c r="Z8" s="13" t="s">
        <v>624</v>
      </c>
    </row>
    <row r="9" spans="1:26" x14ac:dyDescent="0.35">
      <c r="A9" s="4">
        <v>2</v>
      </c>
      <c r="B9" s="4" t="s">
        <v>251</v>
      </c>
      <c r="C9" s="4" t="s">
        <v>250</v>
      </c>
      <c r="D9" s="4">
        <v>4595</v>
      </c>
      <c r="E9" s="4">
        <v>78</v>
      </c>
      <c r="F9" s="4"/>
      <c r="G9" s="4">
        <v>84</v>
      </c>
      <c r="H9" s="4">
        <v>80</v>
      </c>
      <c r="I9" s="4">
        <v>84</v>
      </c>
      <c r="J9" s="4">
        <v>82</v>
      </c>
      <c r="K9" s="4">
        <v>86</v>
      </c>
      <c r="L9" s="4">
        <v>80</v>
      </c>
      <c r="M9" s="4">
        <v>80</v>
      </c>
      <c r="N9" s="4">
        <v>81</v>
      </c>
      <c r="O9" s="4">
        <v>80</v>
      </c>
      <c r="P9" s="5">
        <f t="shared" si="0"/>
        <v>81.5</v>
      </c>
      <c r="Q9" s="4">
        <v>0</v>
      </c>
      <c r="R9" s="4">
        <v>0</v>
      </c>
      <c r="S9" s="4">
        <v>0</v>
      </c>
      <c r="T9" s="13" t="s">
        <v>623</v>
      </c>
      <c r="U9" s="4" t="s">
        <v>71</v>
      </c>
      <c r="V9" s="4"/>
      <c r="W9" s="4"/>
      <c r="X9" s="4"/>
      <c r="Y9" s="11"/>
      <c r="Z9" s="13" t="s">
        <v>624</v>
      </c>
    </row>
    <row r="10" spans="1:26" x14ac:dyDescent="0.35">
      <c r="A10" s="4">
        <v>3</v>
      </c>
      <c r="B10" s="4" t="s">
        <v>249</v>
      </c>
      <c r="C10" s="4" t="s">
        <v>248</v>
      </c>
      <c r="D10" s="4">
        <v>4606</v>
      </c>
      <c r="E10" s="4">
        <v>78</v>
      </c>
      <c r="F10" s="4"/>
      <c r="G10" s="4">
        <v>83</v>
      </c>
      <c r="H10" s="4">
        <v>80</v>
      </c>
      <c r="I10" s="4">
        <v>84</v>
      </c>
      <c r="J10" s="4">
        <v>82</v>
      </c>
      <c r="K10" s="4">
        <v>86</v>
      </c>
      <c r="L10" s="4">
        <v>82</v>
      </c>
      <c r="M10" s="4">
        <v>80</v>
      </c>
      <c r="N10" s="4">
        <v>81</v>
      </c>
      <c r="O10" s="4">
        <v>80</v>
      </c>
      <c r="P10" s="5">
        <f t="shared" si="0"/>
        <v>81.599999999999994</v>
      </c>
      <c r="Q10" s="4">
        <v>0</v>
      </c>
      <c r="R10" s="4">
        <v>0</v>
      </c>
      <c r="S10" s="4">
        <v>0</v>
      </c>
      <c r="T10" s="13" t="s">
        <v>623</v>
      </c>
      <c r="U10" s="4" t="s">
        <v>71</v>
      </c>
      <c r="V10" s="4"/>
      <c r="W10" s="4"/>
      <c r="X10" s="4"/>
      <c r="Y10" s="11"/>
      <c r="Z10" s="13" t="s">
        <v>624</v>
      </c>
    </row>
    <row r="11" spans="1:26" x14ac:dyDescent="0.35">
      <c r="A11" s="4">
        <v>4</v>
      </c>
      <c r="B11" s="4" t="s">
        <v>247</v>
      </c>
      <c r="C11" s="4" t="s">
        <v>246</v>
      </c>
      <c r="D11" s="4">
        <v>4609</v>
      </c>
      <c r="E11" s="4">
        <v>80</v>
      </c>
      <c r="F11" s="4"/>
      <c r="G11" s="4">
        <v>83</v>
      </c>
      <c r="H11" s="4">
        <v>83</v>
      </c>
      <c r="I11" s="4">
        <v>83</v>
      </c>
      <c r="J11" s="4">
        <v>80</v>
      </c>
      <c r="K11" s="4">
        <v>86</v>
      </c>
      <c r="L11" s="4">
        <v>85</v>
      </c>
      <c r="M11" s="4">
        <v>80</v>
      </c>
      <c r="N11" s="4">
        <v>81</v>
      </c>
      <c r="O11" s="4">
        <v>83</v>
      </c>
      <c r="P11" s="5">
        <f t="shared" si="0"/>
        <v>82.4</v>
      </c>
      <c r="Q11" s="4">
        <v>2</v>
      </c>
      <c r="R11" s="4">
        <v>0</v>
      </c>
      <c r="S11" s="4">
        <v>0</v>
      </c>
      <c r="T11" s="13" t="s">
        <v>622</v>
      </c>
      <c r="U11" s="4" t="s">
        <v>71</v>
      </c>
      <c r="V11" s="4"/>
      <c r="W11" s="4"/>
      <c r="X11" s="4"/>
      <c r="Y11" s="11"/>
      <c r="Z11" s="13" t="s">
        <v>624</v>
      </c>
    </row>
    <row r="12" spans="1:26" x14ac:dyDescent="0.35">
      <c r="A12" s="4">
        <v>5</v>
      </c>
      <c r="B12" s="4" t="s">
        <v>245</v>
      </c>
      <c r="C12" s="4" t="s">
        <v>244</v>
      </c>
      <c r="D12" s="4">
        <v>4620</v>
      </c>
      <c r="E12" s="4">
        <v>80</v>
      </c>
      <c r="F12" s="4"/>
      <c r="G12" s="4">
        <v>83</v>
      </c>
      <c r="H12" s="4">
        <v>81</v>
      </c>
      <c r="I12" s="4">
        <v>82</v>
      </c>
      <c r="J12" s="4">
        <v>81</v>
      </c>
      <c r="K12" s="4">
        <v>86</v>
      </c>
      <c r="L12" s="4">
        <v>82</v>
      </c>
      <c r="M12" s="4">
        <v>80</v>
      </c>
      <c r="N12" s="4">
        <v>81</v>
      </c>
      <c r="O12" s="4">
        <v>84</v>
      </c>
      <c r="P12" s="5">
        <f t="shared" si="0"/>
        <v>82</v>
      </c>
      <c r="Q12" s="4">
        <v>0</v>
      </c>
      <c r="R12" s="4">
        <v>0</v>
      </c>
      <c r="S12" s="4">
        <v>0</v>
      </c>
      <c r="T12" s="13" t="s">
        <v>622</v>
      </c>
      <c r="U12" s="4" t="s">
        <v>71</v>
      </c>
      <c r="V12" s="4"/>
      <c r="W12" s="4"/>
      <c r="X12" s="4"/>
      <c r="Y12" s="11"/>
      <c r="Z12" s="13" t="s">
        <v>624</v>
      </c>
    </row>
    <row r="13" spans="1:26" x14ac:dyDescent="0.35">
      <c r="A13" s="4">
        <v>6</v>
      </c>
      <c r="B13" s="4" t="s">
        <v>243</v>
      </c>
      <c r="C13" s="4" t="s">
        <v>242</v>
      </c>
      <c r="D13" s="4">
        <v>4624</v>
      </c>
      <c r="E13" s="4">
        <v>85</v>
      </c>
      <c r="F13" s="4"/>
      <c r="G13" s="4">
        <v>83</v>
      </c>
      <c r="H13" s="4">
        <v>84</v>
      </c>
      <c r="I13" s="4">
        <v>82</v>
      </c>
      <c r="J13" s="4">
        <v>82</v>
      </c>
      <c r="K13" s="4">
        <v>85</v>
      </c>
      <c r="L13" s="4">
        <v>82</v>
      </c>
      <c r="M13" s="4">
        <v>80</v>
      </c>
      <c r="N13" s="4">
        <v>81</v>
      </c>
      <c r="O13" s="4">
        <v>84</v>
      </c>
      <c r="P13" s="5">
        <f t="shared" si="0"/>
        <v>82.8</v>
      </c>
      <c r="Q13" s="4">
        <v>1</v>
      </c>
      <c r="R13" s="4">
        <v>0</v>
      </c>
      <c r="S13" s="4">
        <v>0</v>
      </c>
      <c r="T13" s="13" t="s">
        <v>622</v>
      </c>
      <c r="U13" s="4" t="s">
        <v>71</v>
      </c>
      <c r="V13" s="4"/>
      <c r="W13" s="4" t="s">
        <v>71</v>
      </c>
      <c r="X13" s="4"/>
      <c r="Y13" s="11"/>
      <c r="Z13" s="13" t="s">
        <v>624</v>
      </c>
    </row>
    <row r="14" spans="1:26" x14ac:dyDescent="0.35">
      <c r="A14" s="4">
        <v>7</v>
      </c>
      <c r="B14" s="4" t="s">
        <v>241</v>
      </c>
      <c r="C14" s="4" t="s">
        <v>240</v>
      </c>
      <c r="D14" s="4">
        <v>4633</v>
      </c>
      <c r="E14" s="4">
        <v>78</v>
      </c>
      <c r="F14" s="4"/>
      <c r="G14" s="4">
        <v>81</v>
      </c>
      <c r="H14" s="4">
        <v>79</v>
      </c>
      <c r="I14" s="4">
        <v>82</v>
      </c>
      <c r="J14" s="4">
        <v>79</v>
      </c>
      <c r="K14" s="4">
        <v>86</v>
      </c>
      <c r="L14" s="4">
        <v>80</v>
      </c>
      <c r="M14" s="4">
        <v>80</v>
      </c>
      <c r="N14" s="4">
        <v>79</v>
      </c>
      <c r="O14" s="4">
        <v>83</v>
      </c>
      <c r="P14" s="5">
        <f t="shared" si="0"/>
        <v>80.7</v>
      </c>
      <c r="Q14" s="4">
        <v>1</v>
      </c>
      <c r="R14" s="4">
        <v>0</v>
      </c>
      <c r="S14" s="4">
        <v>0</v>
      </c>
      <c r="T14" s="13" t="s">
        <v>622</v>
      </c>
      <c r="U14" s="4" t="s">
        <v>71</v>
      </c>
      <c r="V14" s="4"/>
      <c r="W14" s="4"/>
      <c r="X14" s="4"/>
      <c r="Y14" s="11"/>
      <c r="Z14" s="13" t="s">
        <v>624</v>
      </c>
    </row>
    <row r="15" spans="1:26" x14ac:dyDescent="0.35">
      <c r="A15" s="4">
        <v>8</v>
      </c>
      <c r="B15" s="4" t="s">
        <v>239</v>
      </c>
      <c r="C15" s="4" t="s">
        <v>238</v>
      </c>
      <c r="D15" s="4">
        <v>4642</v>
      </c>
      <c r="E15" s="4">
        <v>78</v>
      </c>
      <c r="F15" s="4"/>
      <c r="G15" s="4">
        <v>75</v>
      </c>
      <c r="H15" s="4">
        <v>75</v>
      </c>
      <c r="I15" s="4">
        <v>78</v>
      </c>
      <c r="J15" s="4">
        <v>79</v>
      </c>
      <c r="K15" s="4">
        <v>79</v>
      </c>
      <c r="L15" s="4">
        <v>78</v>
      </c>
      <c r="M15" s="4">
        <v>84</v>
      </c>
      <c r="N15" s="4">
        <v>75</v>
      </c>
      <c r="O15" s="4">
        <v>79</v>
      </c>
      <c r="P15" s="5">
        <f t="shared" si="0"/>
        <v>78</v>
      </c>
      <c r="Q15" s="4">
        <v>0</v>
      </c>
      <c r="R15" s="4">
        <v>0</v>
      </c>
      <c r="S15" s="4">
        <v>30</v>
      </c>
      <c r="T15" s="13" t="s">
        <v>622</v>
      </c>
      <c r="U15" s="4" t="s">
        <v>71</v>
      </c>
      <c r="V15" s="4"/>
      <c r="W15" s="4"/>
      <c r="X15" s="4"/>
      <c r="Y15" s="11"/>
      <c r="Z15" s="13" t="s">
        <v>624</v>
      </c>
    </row>
    <row r="16" spans="1:26" x14ac:dyDescent="0.35">
      <c r="A16" s="4">
        <v>9</v>
      </c>
      <c r="B16" s="4" t="s">
        <v>237</v>
      </c>
      <c r="C16" s="4" t="s">
        <v>236</v>
      </c>
      <c r="D16" s="4">
        <v>4646</v>
      </c>
      <c r="E16" s="4">
        <v>85</v>
      </c>
      <c r="F16" s="4"/>
      <c r="G16" s="4">
        <v>83</v>
      </c>
      <c r="H16" s="4">
        <v>84</v>
      </c>
      <c r="I16" s="4">
        <v>85</v>
      </c>
      <c r="J16" s="4">
        <v>80</v>
      </c>
      <c r="K16" s="4">
        <v>85</v>
      </c>
      <c r="L16" s="4">
        <v>84</v>
      </c>
      <c r="M16" s="4">
        <v>85</v>
      </c>
      <c r="N16" s="4">
        <v>81</v>
      </c>
      <c r="O16" s="4">
        <v>84</v>
      </c>
      <c r="P16" s="5">
        <f t="shared" si="0"/>
        <v>83.6</v>
      </c>
      <c r="Q16" s="4">
        <v>1</v>
      </c>
      <c r="R16" s="4">
        <v>0</v>
      </c>
      <c r="S16" s="4">
        <v>0</v>
      </c>
      <c r="T16" s="13" t="s">
        <v>622</v>
      </c>
      <c r="U16" s="4" t="s">
        <v>71</v>
      </c>
      <c r="V16" s="4"/>
      <c r="W16" s="4"/>
      <c r="X16" s="4"/>
      <c r="Y16" s="11"/>
      <c r="Z16" s="13" t="s">
        <v>624</v>
      </c>
    </row>
    <row r="17" spans="1:26" x14ac:dyDescent="0.35">
      <c r="A17" s="4">
        <v>10</v>
      </c>
      <c r="B17" s="4" t="s">
        <v>235</v>
      </c>
      <c r="C17" s="4" t="s">
        <v>234</v>
      </c>
      <c r="D17" s="4">
        <v>4656</v>
      </c>
      <c r="E17" s="4">
        <v>85</v>
      </c>
      <c r="F17" s="4"/>
      <c r="G17" s="4">
        <v>83</v>
      </c>
      <c r="H17" s="4">
        <v>81</v>
      </c>
      <c r="I17" s="4">
        <v>82</v>
      </c>
      <c r="J17" s="4">
        <v>82</v>
      </c>
      <c r="K17" s="4">
        <v>84</v>
      </c>
      <c r="L17" s="4">
        <v>80</v>
      </c>
      <c r="M17" s="4">
        <v>80</v>
      </c>
      <c r="N17" s="4">
        <v>81</v>
      </c>
      <c r="O17" s="4">
        <v>84</v>
      </c>
      <c r="P17" s="5">
        <f t="shared" si="0"/>
        <v>82.2</v>
      </c>
      <c r="Q17" s="4">
        <v>0</v>
      </c>
      <c r="R17" s="4">
        <v>0</v>
      </c>
      <c r="S17" s="4">
        <v>1</v>
      </c>
      <c r="T17" s="13" t="s">
        <v>622</v>
      </c>
      <c r="U17" s="4" t="s">
        <v>71</v>
      </c>
      <c r="V17" s="4"/>
      <c r="W17" s="4"/>
      <c r="X17" s="4"/>
      <c r="Y17" s="11"/>
      <c r="Z17" s="13" t="s">
        <v>624</v>
      </c>
    </row>
    <row r="18" spans="1:26" x14ac:dyDescent="0.35">
      <c r="A18" s="4">
        <v>11</v>
      </c>
      <c r="B18" s="4" t="s">
        <v>233</v>
      </c>
      <c r="C18" s="4" t="s">
        <v>232</v>
      </c>
      <c r="D18" s="4">
        <v>4663</v>
      </c>
      <c r="E18" s="4">
        <v>87</v>
      </c>
      <c r="F18" s="4"/>
      <c r="G18" s="4">
        <v>85</v>
      </c>
      <c r="H18" s="4">
        <v>86</v>
      </c>
      <c r="I18" s="4">
        <v>88</v>
      </c>
      <c r="J18" s="4">
        <v>86</v>
      </c>
      <c r="K18" s="4">
        <v>86</v>
      </c>
      <c r="L18" s="4">
        <v>88</v>
      </c>
      <c r="M18" s="4">
        <v>80</v>
      </c>
      <c r="N18" s="4">
        <v>87</v>
      </c>
      <c r="O18" s="4">
        <v>87</v>
      </c>
      <c r="P18" s="5">
        <f t="shared" si="0"/>
        <v>86</v>
      </c>
      <c r="Q18" s="4">
        <v>0</v>
      </c>
      <c r="R18" s="4">
        <v>0</v>
      </c>
      <c r="S18" s="4">
        <v>0</v>
      </c>
      <c r="T18" s="13" t="s">
        <v>623</v>
      </c>
      <c r="U18" s="4" t="s">
        <v>71</v>
      </c>
      <c r="V18" s="4"/>
      <c r="W18" s="4"/>
      <c r="X18" s="4"/>
      <c r="Y18" s="11"/>
      <c r="Z18" s="13" t="s">
        <v>624</v>
      </c>
    </row>
    <row r="19" spans="1:26" x14ac:dyDescent="0.35">
      <c r="A19" s="4">
        <v>12</v>
      </c>
      <c r="B19" s="4" t="s">
        <v>231</v>
      </c>
      <c r="C19" s="4" t="s">
        <v>230</v>
      </c>
      <c r="D19" s="4">
        <v>4676</v>
      </c>
      <c r="E19" s="4">
        <v>85</v>
      </c>
      <c r="F19" s="4"/>
      <c r="G19" s="4">
        <v>81</v>
      </c>
      <c r="H19" s="4">
        <v>81</v>
      </c>
      <c r="I19" s="4">
        <v>84</v>
      </c>
      <c r="J19" s="4">
        <v>80</v>
      </c>
      <c r="K19" s="4">
        <v>85</v>
      </c>
      <c r="L19" s="4">
        <v>85</v>
      </c>
      <c r="M19" s="4">
        <v>82</v>
      </c>
      <c r="N19" s="4">
        <v>81</v>
      </c>
      <c r="O19" s="4">
        <v>85</v>
      </c>
      <c r="P19" s="5">
        <f t="shared" si="0"/>
        <v>82.9</v>
      </c>
      <c r="Q19" s="4">
        <v>0</v>
      </c>
      <c r="R19" s="4">
        <v>0</v>
      </c>
      <c r="S19" s="4">
        <v>0</v>
      </c>
      <c r="T19" s="13" t="s">
        <v>623</v>
      </c>
      <c r="U19" s="4" t="s">
        <v>71</v>
      </c>
      <c r="V19" s="4"/>
      <c r="W19" s="4"/>
      <c r="X19" s="4"/>
      <c r="Y19" s="11"/>
      <c r="Z19" s="13" t="s">
        <v>624</v>
      </c>
    </row>
    <row r="20" spans="1:26" x14ac:dyDescent="0.35">
      <c r="A20" s="4">
        <v>13</v>
      </c>
      <c r="B20" s="4" t="s">
        <v>229</v>
      </c>
      <c r="C20" s="4" t="s">
        <v>228</v>
      </c>
      <c r="D20" s="4">
        <v>4677</v>
      </c>
      <c r="E20" s="4">
        <v>80</v>
      </c>
      <c r="F20" s="4"/>
      <c r="G20" s="4">
        <v>81</v>
      </c>
      <c r="H20" s="4">
        <v>79</v>
      </c>
      <c r="I20" s="4">
        <v>80</v>
      </c>
      <c r="J20" s="4">
        <v>80</v>
      </c>
      <c r="K20" s="4">
        <v>86</v>
      </c>
      <c r="L20" s="4">
        <v>84</v>
      </c>
      <c r="M20" s="4">
        <v>80</v>
      </c>
      <c r="N20" s="4">
        <v>81</v>
      </c>
      <c r="O20" s="4">
        <v>82</v>
      </c>
      <c r="P20" s="5">
        <f t="shared" si="0"/>
        <v>81.3</v>
      </c>
      <c r="Q20" s="4">
        <v>0</v>
      </c>
      <c r="R20" s="4">
        <v>0</v>
      </c>
      <c r="S20" s="4">
        <v>0</v>
      </c>
      <c r="T20" s="13" t="s">
        <v>623</v>
      </c>
      <c r="U20" s="4" t="s">
        <v>71</v>
      </c>
      <c r="V20" s="4"/>
      <c r="W20" s="4"/>
      <c r="X20" s="4"/>
      <c r="Y20" s="11"/>
      <c r="Z20" s="13" t="s">
        <v>624</v>
      </c>
    </row>
    <row r="21" spans="1:26" x14ac:dyDescent="0.35">
      <c r="A21" s="4">
        <v>14</v>
      </c>
      <c r="B21" s="4" t="s">
        <v>227</v>
      </c>
      <c r="C21" s="4" t="s">
        <v>226</v>
      </c>
      <c r="D21" s="4">
        <v>4689</v>
      </c>
      <c r="E21" s="4">
        <v>85</v>
      </c>
      <c r="F21" s="4"/>
      <c r="G21" s="4">
        <v>84</v>
      </c>
      <c r="H21" s="4">
        <v>81</v>
      </c>
      <c r="I21" s="4">
        <v>85</v>
      </c>
      <c r="J21" s="4">
        <v>82</v>
      </c>
      <c r="K21" s="4">
        <v>86</v>
      </c>
      <c r="L21" s="4">
        <v>84</v>
      </c>
      <c r="M21" s="4">
        <v>85</v>
      </c>
      <c r="N21" s="4">
        <v>81</v>
      </c>
      <c r="O21" s="4">
        <v>83</v>
      </c>
      <c r="P21" s="5">
        <f t="shared" si="0"/>
        <v>83.6</v>
      </c>
      <c r="Q21" s="4">
        <v>1</v>
      </c>
      <c r="R21" s="4">
        <v>0</v>
      </c>
      <c r="S21" s="4">
        <v>0</v>
      </c>
      <c r="T21" s="13" t="s">
        <v>622</v>
      </c>
      <c r="U21" s="4" t="s">
        <v>71</v>
      </c>
      <c r="V21" s="4"/>
      <c r="W21" s="4"/>
      <c r="X21" s="4"/>
      <c r="Y21" s="11"/>
      <c r="Z21" s="13" t="s">
        <v>624</v>
      </c>
    </row>
    <row r="22" spans="1:26" x14ac:dyDescent="0.35">
      <c r="A22" s="4">
        <v>15</v>
      </c>
      <c r="B22" s="4" t="s">
        <v>225</v>
      </c>
      <c r="C22" s="4" t="s">
        <v>224</v>
      </c>
      <c r="D22" s="4">
        <v>4698</v>
      </c>
      <c r="E22" s="4"/>
      <c r="F22" s="4">
        <v>86</v>
      </c>
      <c r="G22" s="4">
        <v>84</v>
      </c>
      <c r="H22" s="4">
        <v>82</v>
      </c>
      <c r="I22" s="4">
        <v>83</v>
      </c>
      <c r="J22" s="4">
        <v>80</v>
      </c>
      <c r="K22" s="4">
        <v>86</v>
      </c>
      <c r="L22" s="4">
        <v>82</v>
      </c>
      <c r="M22" s="4">
        <v>85</v>
      </c>
      <c r="N22" s="4">
        <v>81</v>
      </c>
      <c r="O22" s="4">
        <v>83</v>
      </c>
      <c r="P22" s="5">
        <f t="shared" si="0"/>
        <v>83.2</v>
      </c>
      <c r="Q22" s="4">
        <v>1</v>
      </c>
      <c r="R22" s="4">
        <v>1</v>
      </c>
      <c r="S22" s="4">
        <v>0</v>
      </c>
      <c r="T22" s="13" t="s">
        <v>622</v>
      </c>
      <c r="U22" s="4" t="s">
        <v>71</v>
      </c>
      <c r="V22" s="4"/>
      <c r="W22" s="4"/>
      <c r="X22" s="4"/>
      <c r="Y22" s="11"/>
      <c r="Z22" s="13" t="s">
        <v>624</v>
      </c>
    </row>
    <row r="23" spans="1:26" x14ac:dyDescent="0.35">
      <c r="A23" s="4">
        <v>16</v>
      </c>
      <c r="B23" s="4" t="s">
        <v>223</v>
      </c>
      <c r="C23" s="4" t="s">
        <v>222</v>
      </c>
      <c r="D23" s="4">
        <v>4710</v>
      </c>
      <c r="E23" s="4">
        <v>80</v>
      </c>
      <c r="F23" s="4"/>
      <c r="G23" s="4">
        <v>85</v>
      </c>
      <c r="H23" s="4">
        <v>83</v>
      </c>
      <c r="I23" s="4">
        <v>85</v>
      </c>
      <c r="J23" s="4">
        <v>85</v>
      </c>
      <c r="K23" s="4">
        <v>86</v>
      </c>
      <c r="L23" s="4">
        <v>86</v>
      </c>
      <c r="M23" s="4">
        <v>83</v>
      </c>
      <c r="N23" s="4">
        <v>84</v>
      </c>
      <c r="O23" s="4">
        <v>85</v>
      </c>
      <c r="P23" s="5">
        <f t="shared" si="0"/>
        <v>84.2</v>
      </c>
      <c r="Q23" s="4">
        <v>0</v>
      </c>
      <c r="R23" s="4">
        <v>0</v>
      </c>
      <c r="S23" s="4">
        <v>0</v>
      </c>
      <c r="T23" s="13" t="s">
        <v>622</v>
      </c>
      <c r="U23" s="4" t="s">
        <v>60</v>
      </c>
      <c r="V23" s="4"/>
      <c r="W23" s="4"/>
      <c r="X23" s="4"/>
      <c r="Y23" s="11"/>
      <c r="Z23" s="13" t="s">
        <v>624</v>
      </c>
    </row>
    <row r="24" spans="1:26" x14ac:dyDescent="0.35">
      <c r="A24" s="4">
        <v>17</v>
      </c>
      <c r="B24" s="4" t="s">
        <v>221</v>
      </c>
      <c r="C24" s="4" t="s">
        <v>220</v>
      </c>
      <c r="D24" s="4">
        <v>4717</v>
      </c>
      <c r="E24" s="4">
        <v>88</v>
      </c>
      <c r="F24" s="4"/>
      <c r="G24" s="4">
        <v>85</v>
      </c>
      <c r="H24" s="4">
        <v>88</v>
      </c>
      <c r="I24" s="4">
        <v>87</v>
      </c>
      <c r="J24" s="4">
        <v>85</v>
      </c>
      <c r="K24" s="4">
        <v>86</v>
      </c>
      <c r="L24" s="4">
        <v>88</v>
      </c>
      <c r="M24" s="4">
        <v>84</v>
      </c>
      <c r="N24" s="4">
        <v>87</v>
      </c>
      <c r="O24" s="4">
        <v>88</v>
      </c>
      <c r="P24" s="5">
        <f t="shared" si="0"/>
        <v>86.6</v>
      </c>
      <c r="Q24" s="4">
        <v>0</v>
      </c>
      <c r="R24" s="4">
        <v>0</v>
      </c>
      <c r="S24" s="4">
        <v>0</v>
      </c>
      <c r="T24" s="13" t="s">
        <v>623</v>
      </c>
      <c r="U24" s="4" t="s">
        <v>71</v>
      </c>
      <c r="V24" s="4"/>
      <c r="W24" s="4" t="s">
        <v>71</v>
      </c>
      <c r="X24" s="4"/>
      <c r="Y24" s="11"/>
      <c r="Z24" s="13" t="s">
        <v>626</v>
      </c>
    </row>
    <row r="25" spans="1:26" x14ac:dyDescent="0.35">
      <c r="A25" s="4">
        <v>18</v>
      </c>
      <c r="B25" s="4" t="s">
        <v>219</v>
      </c>
      <c r="C25" s="4" t="s">
        <v>218</v>
      </c>
      <c r="D25" s="4">
        <v>4735</v>
      </c>
      <c r="E25" s="4">
        <v>80</v>
      </c>
      <c r="F25" s="4"/>
      <c r="G25" s="4">
        <v>83</v>
      </c>
      <c r="H25" s="4">
        <v>82</v>
      </c>
      <c r="I25" s="4">
        <v>80</v>
      </c>
      <c r="J25" s="4">
        <v>80</v>
      </c>
      <c r="K25" s="4">
        <v>86</v>
      </c>
      <c r="L25" s="4">
        <v>80</v>
      </c>
      <c r="M25" s="4">
        <v>79</v>
      </c>
      <c r="N25" s="4">
        <v>81</v>
      </c>
      <c r="O25" s="4">
        <v>80</v>
      </c>
      <c r="P25" s="5">
        <f t="shared" si="0"/>
        <v>81.099999999999994</v>
      </c>
      <c r="Q25" s="4">
        <v>0</v>
      </c>
      <c r="R25" s="4">
        <v>0</v>
      </c>
      <c r="S25" s="4">
        <v>0</v>
      </c>
      <c r="T25" s="13" t="s">
        <v>623</v>
      </c>
      <c r="U25" s="4" t="s">
        <v>71</v>
      </c>
      <c r="V25" s="4"/>
      <c r="W25" s="4"/>
      <c r="X25" s="4"/>
      <c r="Y25" s="11"/>
      <c r="Z25" s="13" t="s">
        <v>624</v>
      </c>
    </row>
    <row r="26" spans="1:26" x14ac:dyDescent="0.35">
      <c r="A26" s="4">
        <v>19</v>
      </c>
      <c r="B26" s="4" t="s">
        <v>217</v>
      </c>
      <c r="C26" s="4" t="s">
        <v>216</v>
      </c>
      <c r="D26" s="4">
        <v>4737</v>
      </c>
      <c r="E26" s="4">
        <v>80</v>
      </c>
      <c r="F26" s="4"/>
      <c r="G26" s="4">
        <v>81</v>
      </c>
      <c r="H26" s="4">
        <v>82</v>
      </c>
      <c r="I26" s="4">
        <v>80</v>
      </c>
      <c r="J26" s="4">
        <v>80</v>
      </c>
      <c r="K26" s="4">
        <v>86</v>
      </c>
      <c r="L26" s="4">
        <v>80</v>
      </c>
      <c r="M26" s="4">
        <v>79</v>
      </c>
      <c r="N26" s="4">
        <v>79</v>
      </c>
      <c r="O26" s="4">
        <v>83</v>
      </c>
      <c r="P26" s="5">
        <f t="shared" si="0"/>
        <v>81</v>
      </c>
      <c r="Q26" s="4">
        <v>0</v>
      </c>
      <c r="R26" s="4">
        <v>0</v>
      </c>
      <c r="S26" s="4">
        <v>1</v>
      </c>
      <c r="T26" s="13" t="s">
        <v>622</v>
      </c>
      <c r="U26" s="4" t="s">
        <v>71</v>
      </c>
      <c r="V26" s="4"/>
      <c r="W26" s="4"/>
      <c r="X26" s="4"/>
      <c r="Y26" s="11"/>
      <c r="Z26" s="13" t="s">
        <v>624</v>
      </c>
    </row>
    <row r="27" spans="1:26" x14ac:dyDescent="0.35">
      <c r="A27" s="4">
        <v>20</v>
      </c>
      <c r="B27" s="4" t="s">
        <v>215</v>
      </c>
      <c r="C27" s="4" t="s">
        <v>214</v>
      </c>
      <c r="D27" s="4">
        <v>4745</v>
      </c>
      <c r="E27" s="4">
        <v>87</v>
      </c>
      <c r="F27" s="4"/>
      <c r="G27" s="4">
        <v>83</v>
      </c>
      <c r="H27" s="4">
        <v>82</v>
      </c>
      <c r="I27" s="4">
        <v>82</v>
      </c>
      <c r="J27" s="4">
        <v>79</v>
      </c>
      <c r="K27" s="4">
        <v>85</v>
      </c>
      <c r="L27" s="4">
        <v>80</v>
      </c>
      <c r="M27" s="4">
        <v>80</v>
      </c>
      <c r="N27" s="4">
        <v>79</v>
      </c>
      <c r="O27" s="4">
        <v>83</v>
      </c>
      <c r="P27" s="5">
        <f t="shared" si="0"/>
        <v>82</v>
      </c>
      <c r="Q27" s="4">
        <v>0</v>
      </c>
      <c r="R27" s="4">
        <v>0</v>
      </c>
      <c r="S27" s="4">
        <v>0</v>
      </c>
      <c r="T27" s="13" t="s">
        <v>623</v>
      </c>
      <c r="U27" s="4" t="s">
        <v>71</v>
      </c>
      <c r="V27" s="4"/>
      <c r="W27" s="4"/>
      <c r="X27" s="4"/>
      <c r="Y27" s="11"/>
      <c r="Z27" s="13" t="s">
        <v>624</v>
      </c>
    </row>
    <row r="28" spans="1:26" x14ac:dyDescent="0.35">
      <c r="A28" s="4">
        <v>21</v>
      </c>
      <c r="B28" s="4" t="s">
        <v>213</v>
      </c>
      <c r="C28" s="4" t="s">
        <v>212</v>
      </c>
      <c r="D28" s="4">
        <v>4751</v>
      </c>
      <c r="E28" s="4">
        <v>80</v>
      </c>
      <c r="F28" s="4"/>
      <c r="G28" s="4">
        <v>85</v>
      </c>
      <c r="H28" s="4">
        <v>84</v>
      </c>
      <c r="I28" s="4">
        <v>82</v>
      </c>
      <c r="J28" s="4">
        <v>79</v>
      </c>
      <c r="K28" s="4">
        <v>86</v>
      </c>
      <c r="L28" s="4">
        <v>86</v>
      </c>
      <c r="M28" s="4">
        <v>83</v>
      </c>
      <c r="N28" s="4">
        <v>81</v>
      </c>
      <c r="O28" s="4">
        <v>81</v>
      </c>
      <c r="P28" s="5">
        <f t="shared" si="0"/>
        <v>82.7</v>
      </c>
      <c r="Q28" s="4">
        <v>1</v>
      </c>
      <c r="R28" s="4">
        <v>0</v>
      </c>
      <c r="S28" s="4">
        <v>0</v>
      </c>
      <c r="T28" s="13" t="s">
        <v>622</v>
      </c>
      <c r="U28" s="4" t="s">
        <v>71</v>
      </c>
      <c r="V28" s="4"/>
      <c r="W28" s="4"/>
      <c r="X28" s="4"/>
      <c r="Y28" s="11"/>
      <c r="Z28" s="13" t="s">
        <v>624</v>
      </c>
    </row>
    <row r="29" spans="1:26" x14ac:dyDescent="0.35">
      <c r="A29" s="4">
        <v>22</v>
      </c>
      <c r="B29" s="4" t="s">
        <v>211</v>
      </c>
      <c r="C29" s="4" t="s">
        <v>210</v>
      </c>
      <c r="D29" s="4">
        <v>4759</v>
      </c>
      <c r="E29" s="4">
        <v>80</v>
      </c>
      <c r="F29" s="4"/>
      <c r="G29" s="4">
        <v>85</v>
      </c>
      <c r="H29" s="4">
        <v>80</v>
      </c>
      <c r="I29" s="4">
        <v>82</v>
      </c>
      <c r="J29" s="4">
        <v>82</v>
      </c>
      <c r="K29" s="4">
        <v>86</v>
      </c>
      <c r="L29" s="4">
        <v>80</v>
      </c>
      <c r="M29" s="4">
        <v>82</v>
      </c>
      <c r="N29" s="4">
        <v>81</v>
      </c>
      <c r="O29" s="4">
        <v>81</v>
      </c>
      <c r="P29" s="5">
        <f t="shared" si="0"/>
        <v>81.900000000000006</v>
      </c>
      <c r="Q29" s="4">
        <v>0</v>
      </c>
      <c r="R29" s="4">
        <v>0</v>
      </c>
      <c r="S29" s="4">
        <v>0</v>
      </c>
      <c r="T29" s="13" t="s">
        <v>623</v>
      </c>
      <c r="U29" s="4" t="s">
        <v>71</v>
      </c>
      <c r="V29" s="4"/>
      <c r="W29" s="4"/>
      <c r="X29" s="4"/>
      <c r="Y29" s="11"/>
      <c r="Z29" s="13" t="s">
        <v>624</v>
      </c>
    </row>
    <row r="30" spans="1:26" x14ac:dyDescent="0.35">
      <c r="A30" s="4">
        <v>23</v>
      </c>
      <c r="B30" s="4" t="s">
        <v>209</v>
      </c>
      <c r="C30" s="4" t="s">
        <v>208</v>
      </c>
      <c r="D30" s="4">
        <v>4766</v>
      </c>
      <c r="E30" s="4">
        <v>85</v>
      </c>
      <c r="F30" s="4"/>
      <c r="G30" s="4">
        <v>83</v>
      </c>
      <c r="H30" s="4">
        <v>79</v>
      </c>
      <c r="I30" s="4">
        <v>82</v>
      </c>
      <c r="J30" s="4">
        <v>82</v>
      </c>
      <c r="K30" s="4">
        <v>86</v>
      </c>
      <c r="L30" s="4">
        <v>83</v>
      </c>
      <c r="M30" s="4">
        <v>82</v>
      </c>
      <c r="N30" s="4">
        <v>79</v>
      </c>
      <c r="O30" s="4">
        <v>82</v>
      </c>
      <c r="P30" s="5">
        <f t="shared" si="0"/>
        <v>82.3</v>
      </c>
      <c r="Q30" s="4">
        <v>0</v>
      </c>
      <c r="R30" s="4">
        <v>0</v>
      </c>
      <c r="S30" s="4">
        <v>0</v>
      </c>
      <c r="T30" s="13" t="s">
        <v>623</v>
      </c>
      <c r="U30" s="4" t="s">
        <v>71</v>
      </c>
      <c r="V30" s="4"/>
      <c r="W30" s="4"/>
      <c r="X30" s="4"/>
      <c r="Y30" s="11"/>
      <c r="Z30" s="13" t="s">
        <v>624</v>
      </c>
    </row>
    <row r="31" spans="1:26" x14ac:dyDescent="0.35">
      <c r="A31" s="4">
        <v>24</v>
      </c>
      <c r="B31" s="4" t="s">
        <v>207</v>
      </c>
      <c r="C31" s="4" t="s">
        <v>206</v>
      </c>
      <c r="D31" s="4">
        <v>4776</v>
      </c>
      <c r="E31" s="4">
        <v>85</v>
      </c>
      <c r="F31" s="4"/>
      <c r="G31" s="4">
        <v>84</v>
      </c>
      <c r="H31" s="4">
        <v>84</v>
      </c>
      <c r="I31" s="4">
        <v>84</v>
      </c>
      <c r="J31" s="4">
        <v>82</v>
      </c>
      <c r="K31" s="4">
        <v>86</v>
      </c>
      <c r="L31" s="4">
        <v>82</v>
      </c>
      <c r="M31" s="4">
        <v>79</v>
      </c>
      <c r="N31" s="4">
        <v>82</v>
      </c>
      <c r="O31" s="4">
        <v>84</v>
      </c>
      <c r="P31" s="5">
        <f t="shared" si="0"/>
        <v>83.2</v>
      </c>
      <c r="Q31" s="4">
        <v>0</v>
      </c>
      <c r="R31" s="4">
        <v>0</v>
      </c>
      <c r="S31" s="4">
        <v>0</v>
      </c>
      <c r="T31" s="13" t="s">
        <v>623</v>
      </c>
      <c r="U31" s="4" t="s">
        <v>71</v>
      </c>
      <c r="V31" s="4"/>
      <c r="W31" s="4"/>
      <c r="X31" s="4"/>
      <c r="Y31" s="11"/>
      <c r="Z31" s="13" t="s">
        <v>624</v>
      </c>
    </row>
    <row r="32" spans="1:26" x14ac:dyDescent="0.35">
      <c r="A32" s="4">
        <v>25</v>
      </c>
      <c r="B32" s="4" t="s">
        <v>205</v>
      </c>
      <c r="C32" s="4" t="s">
        <v>204</v>
      </c>
      <c r="D32" s="4">
        <v>4777</v>
      </c>
      <c r="E32" s="4">
        <v>87</v>
      </c>
      <c r="F32" s="4"/>
      <c r="G32" s="4">
        <v>84</v>
      </c>
      <c r="H32" s="4">
        <v>80</v>
      </c>
      <c r="I32" s="4">
        <v>83</v>
      </c>
      <c r="J32" s="4">
        <v>82</v>
      </c>
      <c r="K32" s="4">
        <v>86</v>
      </c>
      <c r="L32" s="4">
        <v>82</v>
      </c>
      <c r="M32" s="4">
        <v>82</v>
      </c>
      <c r="N32" s="4">
        <v>82</v>
      </c>
      <c r="O32" s="4">
        <v>84</v>
      </c>
      <c r="P32" s="5">
        <f t="shared" si="0"/>
        <v>83.2</v>
      </c>
      <c r="Q32" s="4">
        <v>1</v>
      </c>
      <c r="R32" s="4">
        <v>0</v>
      </c>
      <c r="S32" s="4">
        <v>0</v>
      </c>
      <c r="T32" s="13" t="s">
        <v>622</v>
      </c>
      <c r="U32" s="4" t="s">
        <v>71</v>
      </c>
      <c r="V32" s="4" t="s">
        <v>60</v>
      </c>
      <c r="W32" s="4"/>
      <c r="X32" s="4" t="s">
        <v>71</v>
      </c>
      <c r="Y32" s="11"/>
      <c r="Z32" s="13" t="s">
        <v>626</v>
      </c>
    </row>
    <row r="33" spans="1:26" x14ac:dyDescent="0.35">
      <c r="A33" s="4">
        <v>26</v>
      </c>
      <c r="B33" s="4" t="s">
        <v>203</v>
      </c>
      <c r="C33" s="4" t="s">
        <v>202</v>
      </c>
      <c r="D33" s="4">
        <v>4793</v>
      </c>
      <c r="E33" s="4">
        <v>80</v>
      </c>
      <c r="F33" s="4"/>
      <c r="G33" s="4">
        <v>81</v>
      </c>
      <c r="H33" s="4">
        <v>76</v>
      </c>
      <c r="I33" s="4">
        <v>78</v>
      </c>
      <c r="J33" s="4">
        <v>77</v>
      </c>
      <c r="K33" s="4">
        <v>85</v>
      </c>
      <c r="L33" s="4">
        <v>80</v>
      </c>
      <c r="M33" s="4">
        <v>83</v>
      </c>
      <c r="N33" s="4">
        <v>79</v>
      </c>
      <c r="O33" s="4">
        <v>82</v>
      </c>
      <c r="P33" s="5">
        <f t="shared" si="0"/>
        <v>80.099999999999994</v>
      </c>
      <c r="Q33" s="4">
        <v>0</v>
      </c>
      <c r="R33" s="4">
        <v>0</v>
      </c>
      <c r="S33" s="4">
        <v>0</v>
      </c>
      <c r="T33" s="13" t="s">
        <v>623</v>
      </c>
      <c r="U33" s="4" t="s">
        <v>71</v>
      </c>
      <c r="V33" s="4"/>
      <c r="W33" s="4"/>
      <c r="X33" s="4"/>
      <c r="Y33" s="11"/>
      <c r="Z33" s="13" t="s">
        <v>624</v>
      </c>
    </row>
    <row r="34" spans="1:26" x14ac:dyDescent="0.35">
      <c r="A34" s="4">
        <v>27</v>
      </c>
      <c r="B34" s="4" t="s">
        <v>201</v>
      </c>
      <c r="C34" s="4" t="s">
        <v>200</v>
      </c>
      <c r="D34" s="4">
        <v>4804</v>
      </c>
      <c r="E34" s="4">
        <v>80</v>
      </c>
      <c r="F34" s="4"/>
      <c r="G34" s="4">
        <v>82</v>
      </c>
      <c r="H34" s="4">
        <v>81</v>
      </c>
      <c r="I34" s="4">
        <v>82</v>
      </c>
      <c r="J34" s="4">
        <v>82</v>
      </c>
      <c r="K34" s="4">
        <v>86</v>
      </c>
      <c r="L34" s="4">
        <v>80</v>
      </c>
      <c r="M34" s="4">
        <v>83</v>
      </c>
      <c r="N34" s="4">
        <v>81</v>
      </c>
      <c r="O34" s="4">
        <v>82</v>
      </c>
      <c r="P34" s="5">
        <f t="shared" si="0"/>
        <v>81.900000000000006</v>
      </c>
      <c r="Q34" s="4">
        <v>0</v>
      </c>
      <c r="R34" s="4">
        <v>0</v>
      </c>
      <c r="S34" s="4">
        <v>0</v>
      </c>
      <c r="T34" s="13" t="s">
        <v>623</v>
      </c>
      <c r="U34" s="4" t="s">
        <v>71</v>
      </c>
      <c r="V34" s="4"/>
      <c r="W34" s="4"/>
      <c r="X34" s="4"/>
      <c r="Y34" s="11"/>
      <c r="Z34" s="13" t="s">
        <v>624</v>
      </c>
    </row>
    <row r="35" spans="1:26" x14ac:dyDescent="0.35">
      <c r="A35" s="4">
        <v>28</v>
      </c>
      <c r="B35" s="4" t="s">
        <v>199</v>
      </c>
      <c r="C35" s="4" t="s">
        <v>198</v>
      </c>
      <c r="D35" s="4">
        <v>4807</v>
      </c>
      <c r="E35" s="4">
        <v>82</v>
      </c>
      <c r="F35" s="4"/>
      <c r="G35" s="4">
        <v>82</v>
      </c>
      <c r="H35" s="4">
        <v>83</v>
      </c>
      <c r="I35" s="4">
        <v>80</v>
      </c>
      <c r="J35" s="4">
        <v>78</v>
      </c>
      <c r="K35" s="4">
        <v>85</v>
      </c>
      <c r="L35" s="4">
        <v>83</v>
      </c>
      <c r="M35" s="4">
        <v>84</v>
      </c>
      <c r="N35" s="4">
        <v>79</v>
      </c>
      <c r="O35" s="4">
        <v>85</v>
      </c>
      <c r="P35" s="5">
        <f t="shared" si="0"/>
        <v>82.1</v>
      </c>
      <c r="Q35" s="4">
        <v>0</v>
      </c>
      <c r="R35" s="4">
        <v>0</v>
      </c>
      <c r="S35" s="4">
        <v>0</v>
      </c>
      <c r="T35" s="13" t="s">
        <v>623</v>
      </c>
      <c r="U35" s="4" t="s">
        <v>71</v>
      </c>
      <c r="V35" s="4"/>
      <c r="W35" s="4"/>
      <c r="X35" s="4"/>
      <c r="Y35" s="11"/>
      <c r="Z35" s="13" t="s">
        <v>624</v>
      </c>
    </row>
    <row r="36" spans="1:26" x14ac:dyDescent="0.35">
      <c r="A36" s="4">
        <v>29</v>
      </c>
      <c r="B36" s="4" t="s">
        <v>197</v>
      </c>
      <c r="C36" s="4" t="s">
        <v>196</v>
      </c>
      <c r="D36" s="4">
        <v>4820</v>
      </c>
      <c r="E36" s="4">
        <v>80</v>
      </c>
      <c r="F36" s="4"/>
      <c r="G36" s="4">
        <v>83</v>
      </c>
      <c r="H36" s="4">
        <v>83</v>
      </c>
      <c r="I36" s="4">
        <v>84</v>
      </c>
      <c r="J36" s="4">
        <v>82</v>
      </c>
      <c r="K36" s="4">
        <v>86</v>
      </c>
      <c r="L36" s="4">
        <v>82</v>
      </c>
      <c r="M36" s="4">
        <v>83</v>
      </c>
      <c r="N36" s="4">
        <v>81</v>
      </c>
      <c r="O36" s="4">
        <v>85</v>
      </c>
      <c r="P36" s="5">
        <f t="shared" si="0"/>
        <v>82.9</v>
      </c>
      <c r="Q36" s="4">
        <v>0</v>
      </c>
      <c r="R36" s="4">
        <v>0</v>
      </c>
      <c r="S36" s="4">
        <v>0</v>
      </c>
      <c r="T36" s="14" t="s">
        <v>623</v>
      </c>
      <c r="U36" s="4" t="s">
        <v>71</v>
      </c>
      <c r="V36" s="4"/>
      <c r="W36" s="4"/>
      <c r="X36" s="4"/>
      <c r="Y36" s="11"/>
      <c r="Z36" s="13" t="s">
        <v>624</v>
      </c>
    </row>
    <row r="37" spans="1:26" x14ac:dyDescent="0.35">
      <c r="A37" s="4">
        <v>30</v>
      </c>
      <c r="B37" s="4" t="s">
        <v>195</v>
      </c>
      <c r="C37" s="4" t="s">
        <v>194</v>
      </c>
      <c r="D37" s="4">
        <v>4823</v>
      </c>
      <c r="E37" s="4">
        <v>86</v>
      </c>
      <c r="F37" s="4"/>
      <c r="G37" s="4">
        <v>85</v>
      </c>
      <c r="H37" s="4">
        <v>86</v>
      </c>
      <c r="I37" s="4">
        <v>83</v>
      </c>
      <c r="J37" s="4">
        <v>83</v>
      </c>
      <c r="K37" s="4">
        <v>86</v>
      </c>
      <c r="L37" s="4">
        <v>85</v>
      </c>
      <c r="M37" s="4">
        <v>78</v>
      </c>
      <c r="N37" s="4">
        <v>85</v>
      </c>
      <c r="O37" s="4">
        <v>87</v>
      </c>
      <c r="P37" s="5">
        <f t="shared" si="0"/>
        <v>84.4</v>
      </c>
      <c r="Q37" s="4">
        <v>0</v>
      </c>
      <c r="R37" s="4">
        <v>0</v>
      </c>
      <c r="S37" s="4">
        <v>0</v>
      </c>
      <c r="T37" s="13" t="s">
        <v>623</v>
      </c>
      <c r="U37" s="4" t="s">
        <v>71</v>
      </c>
      <c r="V37" s="4"/>
      <c r="W37" s="4" t="s">
        <v>71</v>
      </c>
      <c r="X37" s="4"/>
      <c r="Y37" s="11"/>
      <c r="Z37" s="13" t="s">
        <v>624</v>
      </c>
    </row>
    <row r="38" spans="1:26" x14ac:dyDescent="0.35">
      <c r="A38" s="4">
        <v>31</v>
      </c>
      <c r="B38" s="4" t="s">
        <v>193</v>
      </c>
      <c r="C38" s="4" t="s">
        <v>192</v>
      </c>
      <c r="D38" s="4">
        <v>4832</v>
      </c>
      <c r="E38" s="4">
        <v>85</v>
      </c>
      <c r="F38" s="4"/>
      <c r="G38" s="4">
        <v>87</v>
      </c>
      <c r="H38" s="4">
        <v>86</v>
      </c>
      <c r="I38" s="4">
        <v>86</v>
      </c>
      <c r="J38" s="4">
        <v>83</v>
      </c>
      <c r="K38" s="4">
        <v>86</v>
      </c>
      <c r="L38" s="4">
        <v>86</v>
      </c>
      <c r="M38" s="4">
        <v>82</v>
      </c>
      <c r="N38" s="4">
        <v>85</v>
      </c>
      <c r="O38" s="4">
        <v>85</v>
      </c>
      <c r="P38" s="5">
        <f t="shared" si="0"/>
        <v>85.1</v>
      </c>
      <c r="Q38" s="4">
        <v>1</v>
      </c>
      <c r="R38" s="4">
        <v>0</v>
      </c>
      <c r="S38" s="4">
        <v>0</v>
      </c>
      <c r="T38" s="13" t="s">
        <v>622</v>
      </c>
      <c r="U38" s="4" t="s">
        <v>71</v>
      </c>
      <c r="V38" s="4" t="s">
        <v>60</v>
      </c>
      <c r="W38" s="4"/>
      <c r="X38" s="4"/>
      <c r="Y38" s="11"/>
      <c r="Z38" s="13" t="s">
        <v>624</v>
      </c>
    </row>
    <row r="39" spans="1:26" x14ac:dyDescent="0.35">
      <c r="A39" s="4">
        <v>32</v>
      </c>
      <c r="B39" s="4" t="s">
        <v>191</v>
      </c>
      <c r="C39" s="4" t="s">
        <v>190</v>
      </c>
      <c r="D39" s="4">
        <v>4840</v>
      </c>
      <c r="E39" s="4">
        <v>85</v>
      </c>
      <c r="F39" s="4"/>
      <c r="G39" s="4">
        <v>83</v>
      </c>
      <c r="H39" s="4">
        <v>83</v>
      </c>
      <c r="I39" s="4">
        <v>83</v>
      </c>
      <c r="J39" s="4">
        <v>78</v>
      </c>
      <c r="K39" s="4">
        <v>85</v>
      </c>
      <c r="L39" s="4">
        <v>82</v>
      </c>
      <c r="M39" s="4">
        <v>80</v>
      </c>
      <c r="N39" s="4">
        <v>81</v>
      </c>
      <c r="O39" s="4">
        <v>84</v>
      </c>
      <c r="P39" s="5">
        <f t="shared" si="0"/>
        <v>82.4</v>
      </c>
      <c r="Q39" s="4">
        <v>0</v>
      </c>
      <c r="R39" s="4">
        <v>0</v>
      </c>
      <c r="S39" s="4">
        <v>0</v>
      </c>
      <c r="T39" s="13" t="s">
        <v>623</v>
      </c>
      <c r="U39" s="4" t="s">
        <v>71</v>
      </c>
      <c r="V39" s="4"/>
      <c r="W39" s="4"/>
      <c r="X39" s="4"/>
      <c r="Y39" s="11"/>
      <c r="Z39" s="13" t="s">
        <v>624</v>
      </c>
    </row>
    <row r="40" spans="1:26" x14ac:dyDescent="0.35">
      <c r="A40" s="4">
        <v>33</v>
      </c>
      <c r="B40" s="4" t="s">
        <v>189</v>
      </c>
      <c r="C40" s="4" t="s">
        <v>188</v>
      </c>
      <c r="D40" s="4">
        <v>4847</v>
      </c>
      <c r="E40" s="4">
        <v>89</v>
      </c>
      <c r="F40" s="4"/>
      <c r="G40" s="4">
        <v>87</v>
      </c>
      <c r="H40" s="4">
        <v>89</v>
      </c>
      <c r="I40" s="4">
        <v>88</v>
      </c>
      <c r="J40" s="4">
        <v>89</v>
      </c>
      <c r="K40" s="4">
        <v>86</v>
      </c>
      <c r="L40" s="4">
        <v>88</v>
      </c>
      <c r="M40" s="4">
        <v>87</v>
      </c>
      <c r="N40" s="4">
        <v>89</v>
      </c>
      <c r="O40" s="4">
        <v>90</v>
      </c>
      <c r="P40" s="5">
        <f t="shared" si="0"/>
        <v>88.2</v>
      </c>
      <c r="Q40" s="4">
        <v>0</v>
      </c>
      <c r="R40" s="4">
        <v>0</v>
      </c>
      <c r="S40" s="4">
        <v>0</v>
      </c>
      <c r="T40" s="13" t="s">
        <v>623</v>
      </c>
      <c r="U40" s="4" t="s">
        <v>71</v>
      </c>
      <c r="V40" s="4"/>
      <c r="W40" s="4"/>
      <c r="X40" s="4"/>
      <c r="Y40" s="11" t="s">
        <v>71</v>
      </c>
      <c r="Z40" s="13" t="s">
        <v>630</v>
      </c>
    </row>
    <row r="41" spans="1:26" x14ac:dyDescent="0.35">
      <c r="A41" s="4">
        <v>34</v>
      </c>
      <c r="B41" s="4" t="s">
        <v>187</v>
      </c>
      <c r="C41" s="4" t="s">
        <v>186</v>
      </c>
      <c r="D41" s="4">
        <v>4856</v>
      </c>
      <c r="E41" s="4">
        <v>80</v>
      </c>
      <c r="F41" s="4"/>
      <c r="G41" s="4">
        <v>86</v>
      </c>
      <c r="H41" s="4">
        <v>87</v>
      </c>
      <c r="I41" s="4">
        <v>87</v>
      </c>
      <c r="J41" s="4">
        <v>88</v>
      </c>
      <c r="K41" s="4">
        <v>86</v>
      </c>
      <c r="L41" s="4">
        <v>86</v>
      </c>
      <c r="M41" s="4">
        <v>80</v>
      </c>
      <c r="N41" s="4">
        <v>87</v>
      </c>
      <c r="O41" s="4">
        <v>88</v>
      </c>
      <c r="P41" s="5">
        <f t="shared" si="0"/>
        <v>85.5</v>
      </c>
      <c r="Q41" s="4">
        <v>1</v>
      </c>
      <c r="R41" s="4">
        <v>0</v>
      </c>
      <c r="S41" s="4">
        <v>0</v>
      </c>
      <c r="T41" s="13" t="s">
        <v>623</v>
      </c>
      <c r="U41" s="4" t="s">
        <v>60</v>
      </c>
      <c r="V41" s="4"/>
      <c r="W41" s="4"/>
      <c r="X41" s="4"/>
      <c r="Y41" s="11" t="s">
        <v>71</v>
      </c>
      <c r="Z41" s="13" t="s">
        <v>626</v>
      </c>
    </row>
    <row r="42" spans="1:26" x14ac:dyDescent="0.35">
      <c r="A42" s="4">
        <v>35</v>
      </c>
      <c r="B42" s="4" t="s">
        <v>185</v>
      </c>
      <c r="C42" s="4" t="s">
        <v>184</v>
      </c>
      <c r="D42" s="4">
        <v>4865</v>
      </c>
      <c r="E42" s="4">
        <v>88</v>
      </c>
      <c r="F42" s="4"/>
      <c r="G42" s="4">
        <v>85</v>
      </c>
      <c r="H42" s="4">
        <v>88</v>
      </c>
      <c r="I42" s="4">
        <v>86</v>
      </c>
      <c r="J42" s="4">
        <v>85</v>
      </c>
      <c r="K42" s="4">
        <v>85</v>
      </c>
      <c r="L42" s="4">
        <v>88</v>
      </c>
      <c r="M42" s="4">
        <v>83</v>
      </c>
      <c r="N42" s="4">
        <v>86</v>
      </c>
      <c r="O42" s="4">
        <v>88</v>
      </c>
      <c r="P42" s="5">
        <f t="shared" si="0"/>
        <v>86.2</v>
      </c>
      <c r="Q42" s="4">
        <v>1</v>
      </c>
      <c r="R42" s="4">
        <v>0</v>
      </c>
      <c r="S42" s="4">
        <v>0</v>
      </c>
      <c r="T42" s="13" t="s">
        <v>623</v>
      </c>
      <c r="U42" s="4" t="s">
        <v>60</v>
      </c>
      <c r="V42" s="4" t="s">
        <v>60</v>
      </c>
      <c r="W42" s="4"/>
      <c r="X42" s="4"/>
      <c r="Y42" s="11"/>
      <c r="Z42" s="13" t="s">
        <v>626</v>
      </c>
    </row>
    <row r="43" spans="1:26" x14ac:dyDescent="0.35">
      <c r="A43" s="4">
        <v>36</v>
      </c>
      <c r="B43" s="4" t="s">
        <v>183</v>
      </c>
      <c r="C43" s="4" t="s">
        <v>182</v>
      </c>
      <c r="D43" s="4">
        <v>4870</v>
      </c>
      <c r="E43" s="4">
        <v>86</v>
      </c>
      <c r="F43" s="4"/>
      <c r="G43" s="4">
        <v>86</v>
      </c>
      <c r="H43" s="4">
        <v>81</v>
      </c>
      <c r="I43" s="4">
        <v>84</v>
      </c>
      <c r="J43" s="4">
        <v>86</v>
      </c>
      <c r="K43" s="4">
        <v>86</v>
      </c>
      <c r="L43" s="4">
        <v>82</v>
      </c>
      <c r="M43" s="4">
        <v>80</v>
      </c>
      <c r="N43" s="4">
        <v>81</v>
      </c>
      <c r="O43" s="4">
        <v>84</v>
      </c>
      <c r="P43" s="5">
        <f t="shared" si="0"/>
        <v>83.6</v>
      </c>
      <c r="Q43" s="4">
        <v>1</v>
      </c>
      <c r="R43" s="4">
        <v>0</v>
      </c>
      <c r="S43" s="4">
        <v>0</v>
      </c>
      <c r="T43" s="13" t="s">
        <v>622</v>
      </c>
      <c r="U43" s="4" t="s">
        <v>71</v>
      </c>
      <c r="V43" s="4"/>
      <c r="W43" s="4"/>
      <c r="X43" s="4"/>
      <c r="Y43" s="11"/>
      <c r="Z43" s="13" t="s">
        <v>633</v>
      </c>
    </row>
  </sheetData>
  <mergeCells count="25">
    <mergeCell ref="Z4:Z7"/>
    <mergeCell ref="N5:N7"/>
    <mergeCell ref="Y5:Y7"/>
    <mergeCell ref="U4:Y4"/>
    <mergeCell ref="Q4:S6"/>
    <mergeCell ref="U5:U7"/>
    <mergeCell ref="V5:V7"/>
    <mergeCell ref="W5:W7"/>
    <mergeCell ref="X5:X7"/>
    <mergeCell ref="A4:A7"/>
    <mergeCell ref="B4:B7"/>
    <mergeCell ref="C4:C7"/>
    <mergeCell ref="D4:D7"/>
    <mergeCell ref="E4:P4"/>
    <mergeCell ref="O5:O7"/>
    <mergeCell ref="J5:J7"/>
    <mergeCell ref="K5:K7"/>
    <mergeCell ref="L5:L7"/>
    <mergeCell ref="M5:M7"/>
    <mergeCell ref="E5:E7"/>
    <mergeCell ref="F5:F7"/>
    <mergeCell ref="G5:G7"/>
    <mergeCell ref="H5:H7"/>
    <mergeCell ref="I5:I7"/>
    <mergeCell ref="P5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1B60-2DFD-49E1-9053-61A97D2F0E61}">
  <dimension ref="A1:AA43"/>
  <sheetViews>
    <sheetView topLeftCell="H23" workbookViewId="0">
      <selection activeCell="T24" sqref="T24"/>
    </sheetView>
  </sheetViews>
  <sheetFormatPr defaultRowHeight="14.5" x14ac:dyDescent="0.35"/>
  <cols>
    <col min="1" max="1" width="4" customWidth="1"/>
    <col min="2" max="2" width="25.81640625" bestFit="1" customWidth="1"/>
    <col min="3" max="3" width="11.81640625" customWidth="1"/>
    <col min="4" max="4" width="5" bestFit="1" customWidth="1"/>
    <col min="5" max="15" width="5" customWidth="1"/>
    <col min="16" max="16" width="5.7265625" customWidth="1"/>
    <col min="17" max="19" width="5" customWidth="1"/>
    <col min="20" max="20" width="13.6328125" customWidth="1"/>
    <col min="21" max="26" width="5" customWidth="1"/>
    <col min="27" max="27" width="10.1796875" customWidth="1"/>
  </cols>
  <sheetData>
    <row r="1" spans="1:27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x14ac:dyDescent="0.35">
      <c r="A3" s="2" t="s">
        <v>3</v>
      </c>
      <c r="B3" s="2"/>
      <c r="C3" s="2" t="s">
        <v>255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 x14ac:dyDescent="0.3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 t="s">
        <v>10</v>
      </c>
      <c r="R4" s="15"/>
      <c r="S4" s="16"/>
      <c r="T4" s="7"/>
      <c r="U4" s="18" t="s">
        <v>11</v>
      </c>
      <c r="V4" s="18"/>
      <c r="W4" s="15"/>
      <c r="X4" s="15"/>
      <c r="Y4" s="15"/>
      <c r="Z4" s="15"/>
      <c r="AA4" s="15" t="s">
        <v>7</v>
      </c>
    </row>
    <row r="5" spans="1:27" x14ac:dyDescent="0.35">
      <c r="A5" s="15"/>
      <c r="B5" s="15"/>
      <c r="C5" s="15"/>
      <c r="D5" s="15"/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  <c r="M5" s="15" t="s">
        <v>20</v>
      </c>
      <c r="N5" s="15" t="s">
        <v>21</v>
      </c>
      <c r="O5" s="15" t="s">
        <v>22</v>
      </c>
      <c r="P5" s="15" t="s">
        <v>106</v>
      </c>
      <c r="Q5" s="15"/>
      <c r="R5" s="15"/>
      <c r="S5" s="16"/>
      <c r="T5" s="8" t="s">
        <v>548</v>
      </c>
      <c r="U5" s="18" t="s">
        <v>108</v>
      </c>
      <c r="V5" s="18" t="s">
        <v>23</v>
      </c>
      <c r="W5" s="15" t="s">
        <v>24</v>
      </c>
      <c r="X5" s="15" t="s">
        <v>109</v>
      </c>
      <c r="Y5" s="15" t="s">
        <v>256</v>
      </c>
      <c r="Z5" s="15" t="s">
        <v>257</v>
      </c>
      <c r="AA5" s="15"/>
    </row>
    <row r="6" spans="1:27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8"/>
      <c r="U6" s="18"/>
      <c r="V6" s="18"/>
      <c r="W6" s="15"/>
      <c r="X6" s="15"/>
      <c r="Y6" s="15"/>
      <c r="Z6" s="15"/>
      <c r="AA6" s="15"/>
    </row>
    <row r="7" spans="1:27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" t="s">
        <v>29</v>
      </c>
      <c r="R7" s="3" t="s">
        <v>30</v>
      </c>
      <c r="S7" s="6" t="s">
        <v>31</v>
      </c>
      <c r="T7" s="9"/>
      <c r="U7" s="18"/>
      <c r="V7" s="18"/>
      <c r="W7" s="15"/>
      <c r="X7" s="15"/>
      <c r="Y7" s="15"/>
      <c r="Z7" s="15"/>
      <c r="AA7" s="17"/>
    </row>
    <row r="8" spans="1:27" x14ac:dyDescent="0.35">
      <c r="A8" s="4">
        <v>1</v>
      </c>
      <c r="B8" s="4" t="s">
        <v>258</v>
      </c>
      <c r="C8" s="4" t="s">
        <v>259</v>
      </c>
      <c r="D8" s="4">
        <v>4596</v>
      </c>
      <c r="E8" s="4">
        <v>78</v>
      </c>
      <c r="F8" s="4"/>
      <c r="G8" s="4">
        <v>79</v>
      </c>
      <c r="H8" s="4">
        <v>76</v>
      </c>
      <c r="I8" s="4">
        <v>78</v>
      </c>
      <c r="J8" s="4">
        <v>78</v>
      </c>
      <c r="K8" s="4">
        <v>82</v>
      </c>
      <c r="L8" s="4">
        <v>79</v>
      </c>
      <c r="M8" s="4">
        <v>79</v>
      </c>
      <c r="N8" s="4">
        <v>78</v>
      </c>
      <c r="O8" s="4">
        <v>76</v>
      </c>
      <c r="P8" s="5">
        <f>AVERAGE(E8:O8)</f>
        <v>78.3</v>
      </c>
      <c r="Q8" s="4">
        <v>3</v>
      </c>
      <c r="R8" s="4">
        <v>1</v>
      </c>
      <c r="S8" s="4">
        <v>4</v>
      </c>
      <c r="T8" s="13" t="s">
        <v>622</v>
      </c>
      <c r="U8" s="4"/>
      <c r="V8" s="4" t="s">
        <v>71</v>
      </c>
      <c r="W8" s="4"/>
      <c r="X8" s="4"/>
      <c r="Y8" s="4"/>
      <c r="Z8" s="11"/>
      <c r="AA8" s="13" t="s">
        <v>624</v>
      </c>
    </row>
    <row r="9" spans="1:27" x14ac:dyDescent="0.35">
      <c r="A9" s="4">
        <v>2</v>
      </c>
      <c r="B9" s="4" t="s">
        <v>260</v>
      </c>
      <c r="C9" s="4" t="s">
        <v>261</v>
      </c>
      <c r="D9" s="4">
        <v>4608</v>
      </c>
      <c r="E9" s="4">
        <v>81</v>
      </c>
      <c r="F9" s="4"/>
      <c r="G9" s="4">
        <v>76</v>
      </c>
      <c r="H9" s="4">
        <v>77</v>
      </c>
      <c r="I9" s="4">
        <v>78</v>
      </c>
      <c r="J9" s="4">
        <v>78</v>
      </c>
      <c r="K9" s="4">
        <v>85</v>
      </c>
      <c r="L9" s="4">
        <v>79</v>
      </c>
      <c r="M9" s="4">
        <v>78</v>
      </c>
      <c r="N9" s="4">
        <v>80</v>
      </c>
      <c r="O9" s="4">
        <v>78</v>
      </c>
      <c r="P9" s="5">
        <f t="shared" ref="P9:P43" si="0">AVERAGE(E9:O9)</f>
        <v>79</v>
      </c>
      <c r="Q9" s="4">
        <v>3</v>
      </c>
      <c r="R9" s="4">
        <v>0</v>
      </c>
      <c r="S9" s="4">
        <v>1</v>
      </c>
      <c r="T9" s="13" t="s">
        <v>622</v>
      </c>
      <c r="U9" s="4"/>
      <c r="V9" s="4" t="s">
        <v>71</v>
      </c>
      <c r="W9" s="4"/>
      <c r="X9" s="4"/>
      <c r="Y9" s="4"/>
      <c r="Z9" s="11"/>
      <c r="AA9" s="13" t="s">
        <v>624</v>
      </c>
    </row>
    <row r="10" spans="1:27" x14ac:dyDescent="0.35">
      <c r="A10" s="4">
        <v>3</v>
      </c>
      <c r="B10" s="4" t="s">
        <v>262</v>
      </c>
      <c r="C10" s="4" t="s">
        <v>263</v>
      </c>
      <c r="D10" s="4">
        <v>4612</v>
      </c>
      <c r="E10" s="4">
        <v>86</v>
      </c>
      <c r="F10" s="4"/>
      <c r="G10" s="4">
        <v>84</v>
      </c>
      <c r="H10" s="4">
        <v>83</v>
      </c>
      <c r="I10" s="4">
        <v>84</v>
      </c>
      <c r="J10" s="4">
        <v>82</v>
      </c>
      <c r="K10" s="4">
        <v>85</v>
      </c>
      <c r="L10" s="4">
        <v>83</v>
      </c>
      <c r="M10" s="4">
        <v>83</v>
      </c>
      <c r="N10" s="4">
        <v>84</v>
      </c>
      <c r="O10" s="4">
        <v>84</v>
      </c>
      <c r="P10" s="5">
        <f t="shared" si="0"/>
        <v>83.8</v>
      </c>
      <c r="Q10" s="4">
        <v>3</v>
      </c>
      <c r="R10" s="4">
        <v>0</v>
      </c>
      <c r="S10" s="4">
        <v>0</v>
      </c>
      <c r="T10" s="13" t="s">
        <v>622</v>
      </c>
      <c r="U10" s="4"/>
      <c r="V10" s="4" t="s">
        <v>71</v>
      </c>
      <c r="W10" s="4"/>
      <c r="X10" s="4"/>
      <c r="Y10" s="4"/>
      <c r="Z10" s="11"/>
      <c r="AA10" s="13" t="s">
        <v>624</v>
      </c>
    </row>
    <row r="11" spans="1:27" x14ac:dyDescent="0.35">
      <c r="A11" s="4">
        <v>4</v>
      </c>
      <c r="B11" s="4" t="s">
        <v>264</v>
      </c>
      <c r="C11" s="4" t="s">
        <v>265</v>
      </c>
      <c r="D11" s="4">
        <v>4627</v>
      </c>
      <c r="E11" s="4">
        <v>81</v>
      </c>
      <c r="F11" s="4"/>
      <c r="G11" s="4">
        <v>79</v>
      </c>
      <c r="H11" s="4">
        <v>80</v>
      </c>
      <c r="I11" s="4">
        <v>83</v>
      </c>
      <c r="J11" s="4">
        <v>82</v>
      </c>
      <c r="K11" s="4">
        <v>86</v>
      </c>
      <c r="L11" s="4">
        <v>83</v>
      </c>
      <c r="M11" s="4">
        <v>79</v>
      </c>
      <c r="N11" s="4">
        <v>84</v>
      </c>
      <c r="O11" s="4">
        <v>79</v>
      </c>
      <c r="P11" s="5">
        <f t="shared" si="0"/>
        <v>81.599999999999994</v>
      </c>
      <c r="Q11" s="4">
        <v>2</v>
      </c>
      <c r="R11" s="4">
        <v>0</v>
      </c>
      <c r="S11" s="4">
        <v>1</v>
      </c>
      <c r="T11" s="13" t="s">
        <v>622</v>
      </c>
      <c r="U11" s="4"/>
      <c r="V11" s="4" t="s">
        <v>71</v>
      </c>
      <c r="W11" s="4"/>
      <c r="X11" s="4"/>
      <c r="Y11" s="4"/>
      <c r="Z11" s="11"/>
      <c r="AA11" s="13" t="s">
        <v>624</v>
      </c>
    </row>
    <row r="12" spans="1:27" x14ac:dyDescent="0.35">
      <c r="A12" s="4">
        <v>5</v>
      </c>
      <c r="B12" s="4" t="s">
        <v>266</v>
      </c>
      <c r="C12" s="4" t="s">
        <v>267</v>
      </c>
      <c r="D12" s="4">
        <v>4634</v>
      </c>
      <c r="E12" s="4">
        <v>85</v>
      </c>
      <c r="F12" s="4"/>
      <c r="G12" s="4">
        <v>81</v>
      </c>
      <c r="H12" s="4">
        <v>79</v>
      </c>
      <c r="I12" s="4">
        <v>80</v>
      </c>
      <c r="J12" s="4">
        <v>79</v>
      </c>
      <c r="K12" s="4">
        <v>83</v>
      </c>
      <c r="L12" s="4">
        <v>80</v>
      </c>
      <c r="M12" s="4">
        <v>82</v>
      </c>
      <c r="N12" s="4">
        <v>80</v>
      </c>
      <c r="O12" s="4">
        <v>83</v>
      </c>
      <c r="P12" s="5">
        <f t="shared" si="0"/>
        <v>81.2</v>
      </c>
      <c r="Q12" s="4">
        <v>1</v>
      </c>
      <c r="R12" s="4">
        <v>0</v>
      </c>
      <c r="S12" s="4">
        <v>0</v>
      </c>
      <c r="T12" s="13" t="s">
        <v>622</v>
      </c>
      <c r="U12" s="4"/>
      <c r="V12" s="4" t="s">
        <v>71</v>
      </c>
      <c r="W12" s="4"/>
      <c r="X12" s="4"/>
      <c r="Y12" s="4"/>
      <c r="Z12" s="11"/>
      <c r="AA12" s="13" t="s">
        <v>624</v>
      </c>
    </row>
    <row r="13" spans="1:27" x14ac:dyDescent="0.35">
      <c r="A13" s="4">
        <v>6</v>
      </c>
      <c r="B13" s="4" t="s">
        <v>268</v>
      </c>
      <c r="C13" s="4" t="s">
        <v>269</v>
      </c>
      <c r="D13" s="4">
        <v>4643</v>
      </c>
      <c r="E13" s="4">
        <v>81</v>
      </c>
      <c r="F13" s="4"/>
      <c r="G13" s="4">
        <v>82</v>
      </c>
      <c r="H13" s="4">
        <v>77</v>
      </c>
      <c r="I13" s="4">
        <v>81</v>
      </c>
      <c r="J13" s="4">
        <v>78</v>
      </c>
      <c r="K13" s="4">
        <v>79</v>
      </c>
      <c r="L13" s="4">
        <v>80</v>
      </c>
      <c r="M13" s="4">
        <v>82</v>
      </c>
      <c r="N13" s="4">
        <v>82</v>
      </c>
      <c r="O13" s="4">
        <v>79</v>
      </c>
      <c r="P13" s="5">
        <f t="shared" si="0"/>
        <v>80.099999999999994</v>
      </c>
      <c r="Q13" s="4">
        <v>0</v>
      </c>
      <c r="R13" s="4">
        <v>0</v>
      </c>
      <c r="S13" s="4">
        <v>2</v>
      </c>
      <c r="T13" s="13" t="s">
        <v>622</v>
      </c>
      <c r="U13" s="4"/>
      <c r="V13" s="4" t="s">
        <v>71</v>
      </c>
      <c r="W13" s="4"/>
      <c r="X13" s="4"/>
      <c r="Y13" s="4"/>
      <c r="Z13" s="11"/>
      <c r="AA13" s="13" t="s">
        <v>624</v>
      </c>
    </row>
    <row r="14" spans="1:27" x14ac:dyDescent="0.35">
      <c r="A14" s="4">
        <v>7</v>
      </c>
      <c r="B14" s="4" t="s">
        <v>270</v>
      </c>
      <c r="C14" s="4" t="s">
        <v>271</v>
      </c>
      <c r="D14" s="4">
        <v>4647</v>
      </c>
      <c r="E14" s="4">
        <v>20</v>
      </c>
      <c r="F14" s="4"/>
      <c r="G14" s="4">
        <v>30</v>
      </c>
      <c r="H14" s="4">
        <v>20</v>
      </c>
      <c r="I14" s="4">
        <v>20</v>
      </c>
      <c r="J14" s="4">
        <v>10</v>
      </c>
      <c r="K14" s="4">
        <v>15</v>
      </c>
      <c r="L14" s="4">
        <v>20</v>
      </c>
      <c r="M14" s="4">
        <v>20</v>
      </c>
      <c r="N14" s="4">
        <v>30</v>
      </c>
      <c r="O14" s="4">
        <v>20</v>
      </c>
      <c r="P14" s="5">
        <f t="shared" si="0"/>
        <v>20.5</v>
      </c>
      <c r="Q14" s="4">
        <v>0</v>
      </c>
      <c r="R14" s="4">
        <v>0</v>
      </c>
      <c r="S14" s="4">
        <v>0</v>
      </c>
      <c r="T14" s="13" t="s">
        <v>634</v>
      </c>
      <c r="U14" s="4"/>
      <c r="V14" s="4" t="s">
        <v>71</v>
      </c>
      <c r="W14" s="4"/>
      <c r="X14" s="4"/>
      <c r="Y14" s="4"/>
      <c r="Z14" s="11"/>
      <c r="AA14" s="13" t="s">
        <v>624</v>
      </c>
    </row>
    <row r="15" spans="1:27" x14ac:dyDescent="0.35">
      <c r="A15" s="4">
        <v>8</v>
      </c>
      <c r="B15" s="4" t="s">
        <v>272</v>
      </c>
      <c r="C15" s="4" t="s">
        <v>273</v>
      </c>
      <c r="D15" s="4">
        <v>4658</v>
      </c>
      <c r="E15" s="4">
        <v>86</v>
      </c>
      <c r="F15" s="4"/>
      <c r="G15" s="4">
        <v>85</v>
      </c>
      <c r="H15" s="4">
        <v>83</v>
      </c>
      <c r="I15" s="4">
        <v>85</v>
      </c>
      <c r="J15" s="4">
        <v>82</v>
      </c>
      <c r="K15" s="4">
        <v>85</v>
      </c>
      <c r="L15" s="4">
        <v>83</v>
      </c>
      <c r="M15" s="4">
        <v>82</v>
      </c>
      <c r="N15" s="4">
        <v>86</v>
      </c>
      <c r="O15" s="4">
        <v>82</v>
      </c>
      <c r="P15" s="5">
        <f t="shared" si="0"/>
        <v>83.9</v>
      </c>
      <c r="Q15" s="4">
        <v>0</v>
      </c>
      <c r="R15" s="4">
        <v>0</v>
      </c>
      <c r="S15" s="4">
        <v>0</v>
      </c>
      <c r="T15" s="13" t="s">
        <v>622</v>
      </c>
      <c r="U15" s="4"/>
      <c r="V15" s="4" t="s">
        <v>71</v>
      </c>
      <c r="W15" s="4"/>
      <c r="X15" s="4"/>
      <c r="Y15" s="4"/>
      <c r="Z15" s="11"/>
      <c r="AA15" s="13" t="s">
        <v>624</v>
      </c>
    </row>
    <row r="16" spans="1:27" x14ac:dyDescent="0.35">
      <c r="A16" s="4">
        <v>9</v>
      </c>
      <c r="B16" s="4" t="s">
        <v>274</v>
      </c>
      <c r="C16" s="4" t="s">
        <v>275</v>
      </c>
      <c r="D16" s="4">
        <v>4664</v>
      </c>
      <c r="E16" s="4">
        <v>88</v>
      </c>
      <c r="F16" s="4"/>
      <c r="G16" s="4">
        <v>87</v>
      </c>
      <c r="H16" s="4">
        <v>87</v>
      </c>
      <c r="I16" s="4">
        <v>87</v>
      </c>
      <c r="J16" s="4">
        <v>87</v>
      </c>
      <c r="K16" s="4">
        <v>85</v>
      </c>
      <c r="L16" s="4">
        <v>88</v>
      </c>
      <c r="M16" s="4">
        <v>86</v>
      </c>
      <c r="N16" s="4">
        <v>87</v>
      </c>
      <c r="O16" s="4">
        <v>88</v>
      </c>
      <c r="P16" s="5">
        <f t="shared" si="0"/>
        <v>87</v>
      </c>
      <c r="Q16" s="4">
        <v>0</v>
      </c>
      <c r="R16" s="4">
        <v>0</v>
      </c>
      <c r="S16" s="4">
        <v>0</v>
      </c>
      <c r="T16" s="13" t="s">
        <v>623</v>
      </c>
      <c r="U16" s="4"/>
      <c r="V16" s="4" t="s">
        <v>71</v>
      </c>
      <c r="W16" s="4" t="s">
        <v>71</v>
      </c>
      <c r="X16" s="4"/>
      <c r="Y16" s="4" t="s">
        <v>71</v>
      </c>
      <c r="Z16" s="11"/>
      <c r="AA16" s="13" t="s">
        <v>630</v>
      </c>
    </row>
    <row r="17" spans="1:27" x14ac:dyDescent="0.35">
      <c r="A17" s="4">
        <v>10</v>
      </c>
      <c r="B17" s="4" t="s">
        <v>276</v>
      </c>
      <c r="C17" s="4" t="s">
        <v>277</v>
      </c>
      <c r="D17" s="4">
        <v>4678</v>
      </c>
      <c r="E17" s="4">
        <v>85</v>
      </c>
      <c r="F17" s="4"/>
      <c r="G17" s="4">
        <v>84</v>
      </c>
      <c r="H17" s="4">
        <v>81</v>
      </c>
      <c r="I17" s="4">
        <v>84</v>
      </c>
      <c r="J17" s="4">
        <v>83</v>
      </c>
      <c r="K17" s="4">
        <v>85</v>
      </c>
      <c r="L17" s="4">
        <v>80</v>
      </c>
      <c r="M17" s="4">
        <v>84</v>
      </c>
      <c r="N17" s="4">
        <v>86</v>
      </c>
      <c r="O17" s="4">
        <v>82</v>
      </c>
      <c r="P17" s="5">
        <f t="shared" si="0"/>
        <v>83.4</v>
      </c>
      <c r="Q17" s="4">
        <v>0</v>
      </c>
      <c r="R17" s="4">
        <v>0</v>
      </c>
      <c r="S17" s="4">
        <v>0</v>
      </c>
      <c r="T17" s="13" t="s">
        <v>623</v>
      </c>
      <c r="U17" s="4"/>
      <c r="V17" s="4" t="s">
        <v>71</v>
      </c>
      <c r="W17" s="4"/>
      <c r="X17" s="4"/>
      <c r="Y17" s="4"/>
      <c r="Z17" s="11"/>
      <c r="AA17" s="13" t="s">
        <v>624</v>
      </c>
    </row>
    <row r="18" spans="1:27" x14ac:dyDescent="0.35">
      <c r="A18" s="4">
        <v>11</v>
      </c>
      <c r="B18" s="4" t="s">
        <v>278</v>
      </c>
      <c r="C18" s="4" t="s">
        <v>279</v>
      </c>
      <c r="D18" s="4">
        <v>4683</v>
      </c>
      <c r="E18" s="4">
        <v>81</v>
      </c>
      <c r="F18" s="4"/>
      <c r="G18" s="4">
        <v>87</v>
      </c>
      <c r="H18" s="4">
        <v>87</v>
      </c>
      <c r="I18" s="4">
        <v>87</v>
      </c>
      <c r="J18" s="4">
        <v>86</v>
      </c>
      <c r="K18" s="4">
        <v>86</v>
      </c>
      <c r="L18" s="4">
        <v>88</v>
      </c>
      <c r="M18" s="4">
        <v>85</v>
      </c>
      <c r="N18" s="4">
        <v>87</v>
      </c>
      <c r="O18" s="4">
        <v>88</v>
      </c>
      <c r="P18" s="5">
        <f t="shared" si="0"/>
        <v>86.2</v>
      </c>
      <c r="Q18" s="4">
        <v>3</v>
      </c>
      <c r="R18" s="4">
        <v>0</v>
      </c>
      <c r="S18" s="4">
        <v>0</v>
      </c>
      <c r="T18" s="13" t="s">
        <v>623</v>
      </c>
      <c r="U18" s="4"/>
      <c r="V18" s="4" t="s">
        <v>71</v>
      </c>
      <c r="W18" s="4"/>
      <c r="X18" s="4"/>
      <c r="Y18" s="4"/>
      <c r="Z18" s="11"/>
      <c r="AA18" s="13" t="s">
        <v>626</v>
      </c>
    </row>
    <row r="19" spans="1:27" x14ac:dyDescent="0.35">
      <c r="A19" s="4">
        <v>12</v>
      </c>
      <c r="B19" s="4" t="s">
        <v>280</v>
      </c>
      <c r="C19" s="4" t="s">
        <v>281</v>
      </c>
      <c r="D19" s="4">
        <v>4685</v>
      </c>
      <c r="E19" s="4"/>
      <c r="F19" s="4">
        <v>84</v>
      </c>
      <c r="G19" s="4">
        <v>80</v>
      </c>
      <c r="H19" s="4">
        <v>76</v>
      </c>
      <c r="I19" s="4">
        <v>78</v>
      </c>
      <c r="J19" s="4">
        <v>78</v>
      </c>
      <c r="K19" s="4">
        <v>79</v>
      </c>
      <c r="L19" s="4">
        <v>79</v>
      </c>
      <c r="M19" s="4">
        <v>85</v>
      </c>
      <c r="N19" s="4">
        <v>79</v>
      </c>
      <c r="O19" s="4">
        <v>81</v>
      </c>
      <c r="P19" s="5">
        <f t="shared" si="0"/>
        <v>79.900000000000006</v>
      </c>
      <c r="Q19" s="4">
        <v>0</v>
      </c>
      <c r="R19" s="4">
        <v>0</v>
      </c>
      <c r="S19" s="4">
        <v>6</v>
      </c>
      <c r="T19" s="13" t="s">
        <v>622</v>
      </c>
      <c r="U19" s="4"/>
      <c r="V19" s="4" t="s">
        <v>71</v>
      </c>
      <c r="W19" s="4"/>
      <c r="X19" s="4"/>
      <c r="Y19" s="4"/>
      <c r="Z19" s="11"/>
      <c r="AA19" s="13" t="s">
        <v>624</v>
      </c>
    </row>
    <row r="20" spans="1:27" x14ac:dyDescent="0.35">
      <c r="A20" s="4">
        <v>13</v>
      </c>
      <c r="B20" s="4" t="s">
        <v>282</v>
      </c>
      <c r="C20" s="4" t="s">
        <v>283</v>
      </c>
      <c r="D20" s="4">
        <v>4690</v>
      </c>
      <c r="E20" s="4">
        <v>84</v>
      </c>
      <c r="F20" s="4"/>
      <c r="G20" s="4">
        <v>83</v>
      </c>
      <c r="H20" s="4">
        <v>81</v>
      </c>
      <c r="I20" s="4">
        <v>83</v>
      </c>
      <c r="J20" s="4">
        <v>84</v>
      </c>
      <c r="K20" s="4">
        <v>85</v>
      </c>
      <c r="L20" s="4">
        <v>80</v>
      </c>
      <c r="M20" s="4">
        <v>85</v>
      </c>
      <c r="N20" s="4">
        <v>85</v>
      </c>
      <c r="O20" s="4">
        <v>83</v>
      </c>
      <c r="P20" s="5">
        <f t="shared" si="0"/>
        <v>83.3</v>
      </c>
      <c r="Q20" s="4">
        <v>1</v>
      </c>
      <c r="R20" s="4">
        <v>0</v>
      </c>
      <c r="S20" s="4">
        <v>0</v>
      </c>
      <c r="T20" s="13" t="s">
        <v>622</v>
      </c>
      <c r="U20" s="4"/>
      <c r="V20" s="4" t="s">
        <v>71</v>
      </c>
      <c r="W20" s="4"/>
      <c r="X20" s="4" t="s">
        <v>71</v>
      </c>
      <c r="Y20" s="4"/>
      <c r="Z20" s="11" t="s">
        <v>71</v>
      </c>
      <c r="AA20" s="13" t="s">
        <v>626</v>
      </c>
    </row>
    <row r="21" spans="1:27" x14ac:dyDescent="0.35">
      <c r="A21" s="4">
        <v>14</v>
      </c>
      <c r="B21" s="4" t="s">
        <v>284</v>
      </c>
      <c r="C21" s="4" t="s">
        <v>285</v>
      </c>
      <c r="D21" s="4">
        <v>4699</v>
      </c>
      <c r="E21" s="4">
        <v>81</v>
      </c>
      <c r="F21" s="4"/>
      <c r="G21" s="4">
        <v>82</v>
      </c>
      <c r="H21" s="4">
        <v>77</v>
      </c>
      <c r="I21" s="4">
        <v>80</v>
      </c>
      <c r="J21" s="4">
        <v>80</v>
      </c>
      <c r="K21" s="4">
        <v>86</v>
      </c>
      <c r="L21" s="4">
        <v>79</v>
      </c>
      <c r="M21" s="4">
        <v>79</v>
      </c>
      <c r="N21" s="4">
        <v>82</v>
      </c>
      <c r="O21" s="4">
        <v>80</v>
      </c>
      <c r="P21" s="5">
        <f t="shared" si="0"/>
        <v>80.599999999999994</v>
      </c>
      <c r="Q21" s="4">
        <v>0</v>
      </c>
      <c r="R21" s="4">
        <v>0</v>
      </c>
      <c r="S21" s="4">
        <v>2</v>
      </c>
      <c r="T21" s="13" t="s">
        <v>622</v>
      </c>
      <c r="U21" s="4"/>
      <c r="V21" s="4" t="s">
        <v>71</v>
      </c>
      <c r="W21" s="4"/>
      <c r="X21" s="4"/>
      <c r="Y21" s="4"/>
      <c r="Z21" s="11"/>
      <c r="AA21" s="13" t="s">
        <v>624</v>
      </c>
    </row>
    <row r="22" spans="1:27" x14ac:dyDescent="0.35">
      <c r="A22" s="4">
        <v>15</v>
      </c>
      <c r="B22" s="4" t="s">
        <v>286</v>
      </c>
      <c r="C22" s="4" t="s">
        <v>287</v>
      </c>
      <c r="D22" s="4">
        <v>4711</v>
      </c>
      <c r="E22" s="4">
        <v>81</v>
      </c>
      <c r="F22" s="4"/>
      <c r="G22" s="4">
        <v>79</v>
      </c>
      <c r="H22" s="4">
        <v>76</v>
      </c>
      <c r="I22" s="4">
        <v>79</v>
      </c>
      <c r="J22" s="4">
        <v>77</v>
      </c>
      <c r="K22" s="4">
        <v>85</v>
      </c>
      <c r="L22" s="4">
        <v>79</v>
      </c>
      <c r="M22" s="4">
        <v>77</v>
      </c>
      <c r="N22" s="4">
        <v>80</v>
      </c>
      <c r="O22" s="4">
        <v>76</v>
      </c>
      <c r="P22" s="5">
        <f t="shared" si="0"/>
        <v>78.900000000000006</v>
      </c>
      <c r="Q22" s="4">
        <v>0</v>
      </c>
      <c r="R22" s="4">
        <v>0</v>
      </c>
      <c r="S22" s="4">
        <v>4</v>
      </c>
      <c r="T22" s="13" t="s">
        <v>622</v>
      </c>
      <c r="U22" s="4"/>
      <c r="V22" s="4" t="s">
        <v>71</v>
      </c>
      <c r="W22" s="4"/>
      <c r="X22" s="4"/>
      <c r="Y22" s="4"/>
      <c r="Z22" s="11"/>
      <c r="AA22" s="13" t="s">
        <v>624</v>
      </c>
    </row>
    <row r="23" spans="1:27" x14ac:dyDescent="0.35">
      <c r="A23" s="4">
        <v>16</v>
      </c>
      <c r="B23" s="4" t="s">
        <v>288</v>
      </c>
      <c r="C23" s="4" t="s">
        <v>289</v>
      </c>
      <c r="D23" s="4">
        <v>4719</v>
      </c>
      <c r="E23" s="4">
        <v>84</v>
      </c>
      <c r="F23" s="4"/>
      <c r="G23" s="4">
        <v>84</v>
      </c>
      <c r="H23" s="4">
        <v>80</v>
      </c>
      <c r="I23" s="4">
        <v>84</v>
      </c>
      <c r="J23" s="4">
        <v>83</v>
      </c>
      <c r="K23" s="4">
        <v>86</v>
      </c>
      <c r="L23" s="4">
        <v>80</v>
      </c>
      <c r="M23" s="4">
        <v>80</v>
      </c>
      <c r="N23" s="4">
        <v>84</v>
      </c>
      <c r="O23" s="4">
        <v>86</v>
      </c>
      <c r="P23" s="5">
        <f t="shared" si="0"/>
        <v>83.1</v>
      </c>
      <c r="Q23" s="4">
        <v>1</v>
      </c>
      <c r="R23" s="4">
        <v>0</v>
      </c>
      <c r="S23" s="4">
        <v>0</v>
      </c>
      <c r="T23" s="13" t="s">
        <v>622</v>
      </c>
      <c r="U23" s="4"/>
      <c r="V23" s="4" t="s">
        <v>71</v>
      </c>
      <c r="W23" s="4"/>
      <c r="X23" s="4"/>
      <c r="Y23" s="4"/>
      <c r="Z23" s="11"/>
      <c r="AA23" s="13" t="s">
        <v>624</v>
      </c>
    </row>
    <row r="24" spans="1:27" x14ac:dyDescent="0.35">
      <c r="A24" s="4">
        <v>17</v>
      </c>
      <c r="B24" s="4" t="s">
        <v>290</v>
      </c>
      <c r="C24" s="4" t="s">
        <v>291</v>
      </c>
      <c r="D24" s="4">
        <v>4588</v>
      </c>
      <c r="E24" s="4">
        <v>60</v>
      </c>
      <c r="F24" s="4"/>
      <c r="G24" s="4">
        <v>40</v>
      </c>
      <c r="H24" s="4">
        <v>20</v>
      </c>
      <c r="I24" s="4">
        <v>20</v>
      </c>
      <c r="J24" s="4">
        <v>70</v>
      </c>
      <c r="K24" s="4">
        <v>15</v>
      </c>
      <c r="L24" s="4">
        <v>79</v>
      </c>
      <c r="M24" s="4">
        <v>76</v>
      </c>
      <c r="N24" s="4">
        <v>30</v>
      </c>
      <c r="O24" s="4">
        <v>20</v>
      </c>
      <c r="P24" s="5">
        <f t="shared" si="0"/>
        <v>43</v>
      </c>
      <c r="Q24" s="4">
        <v>0</v>
      </c>
      <c r="R24" s="4">
        <v>0</v>
      </c>
      <c r="S24" s="4">
        <v>45</v>
      </c>
      <c r="T24" s="19" t="s">
        <v>635</v>
      </c>
      <c r="U24" s="4"/>
      <c r="V24" s="4" t="s">
        <v>71</v>
      </c>
      <c r="W24" s="4"/>
      <c r="X24" s="4"/>
      <c r="Y24" s="4"/>
      <c r="Z24" s="11"/>
      <c r="AA24" s="13" t="s">
        <v>624</v>
      </c>
    </row>
    <row r="25" spans="1:27" x14ac:dyDescent="0.35">
      <c r="A25" s="4">
        <v>18</v>
      </c>
      <c r="B25" s="4" t="s">
        <v>292</v>
      </c>
      <c r="C25" s="4" t="s">
        <v>293</v>
      </c>
      <c r="D25" s="4">
        <v>4728</v>
      </c>
      <c r="E25" s="4">
        <v>77</v>
      </c>
      <c r="F25" s="4"/>
      <c r="G25" s="4">
        <v>78</v>
      </c>
      <c r="H25" s="4">
        <v>77</v>
      </c>
      <c r="I25" s="4">
        <v>79</v>
      </c>
      <c r="J25" s="4">
        <v>77</v>
      </c>
      <c r="K25" s="4">
        <v>79</v>
      </c>
      <c r="L25" s="4">
        <v>78</v>
      </c>
      <c r="M25" s="4">
        <v>77</v>
      </c>
      <c r="N25" s="4">
        <v>79</v>
      </c>
      <c r="O25" s="4">
        <v>78</v>
      </c>
      <c r="P25" s="5">
        <f t="shared" si="0"/>
        <v>77.900000000000006</v>
      </c>
      <c r="Q25" s="4">
        <v>0</v>
      </c>
      <c r="R25" s="4">
        <v>0</v>
      </c>
      <c r="S25" s="4">
        <v>3</v>
      </c>
      <c r="T25" s="13" t="s">
        <v>622</v>
      </c>
      <c r="U25" s="4"/>
      <c r="V25" s="4" t="s">
        <v>71</v>
      </c>
      <c r="W25" s="4"/>
      <c r="X25" s="4"/>
      <c r="Y25" s="4"/>
      <c r="Z25" s="11"/>
      <c r="AA25" s="13" t="s">
        <v>624</v>
      </c>
    </row>
    <row r="26" spans="1:27" x14ac:dyDescent="0.35">
      <c r="A26" s="4">
        <v>19</v>
      </c>
      <c r="B26" s="4" t="s">
        <v>294</v>
      </c>
      <c r="C26" s="4" t="s">
        <v>295</v>
      </c>
      <c r="D26" s="4">
        <v>4738</v>
      </c>
      <c r="E26" s="4">
        <v>80</v>
      </c>
      <c r="F26" s="4"/>
      <c r="G26" s="4">
        <v>80</v>
      </c>
      <c r="H26" s="4">
        <v>80</v>
      </c>
      <c r="I26" s="4">
        <v>80</v>
      </c>
      <c r="J26" s="4">
        <v>79</v>
      </c>
      <c r="K26" s="4">
        <v>80</v>
      </c>
      <c r="L26" s="4">
        <v>79</v>
      </c>
      <c r="M26" s="4">
        <v>79</v>
      </c>
      <c r="N26" s="4">
        <v>79</v>
      </c>
      <c r="O26" s="4">
        <v>82</v>
      </c>
      <c r="P26" s="5">
        <f t="shared" si="0"/>
        <v>79.8</v>
      </c>
      <c r="Q26" s="4">
        <v>2</v>
      </c>
      <c r="R26" s="4">
        <v>0</v>
      </c>
      <c r="S26" s="4">
        <v>3</v>
      </c>
      <c r="T26" s="13" t="s">
        <v>622</v>
      </c>
      <c r="U26" s="4"/>
      <c r="V26" s="4" t="s">
        <v>71</v>
      </c>
      <c r="W26" s="4"/>
      <c r="X26" s="4"/>
      <c r="Y26" s="4"/>
      <c r="Z26" s="11"/>
      <c r="AA26" s="13" t="s">
        <v>624</v>
      </c>
    </row>
    <row r="27" spans="1:27" x14ac:dyDescent="0.35">
      <c r="A27" s="4">
        <v>20</v>
      </c>
      <c r="B27" s="4" t="s">
        <v>296</v>
      </c>
      <c r="C27" s="4" t="s">
        <v>297</v>
      </c>
      <c r="D27" s="4">
        <v>4746</v>
      </c>
      <c r="E27" s="4">
        <v>86</v>
      </c>
      <c r="F27" s="4"/>
      <c r="G27" s="4">
        <v>84</v>
      </c>
      <c r="H27" s="4">
        <v>78</v>
      </c>
      <c r="I27" s="4">
        <v>84</v>
      </c>
      <c r="J27" s="4">
        <v>80</v>
      </c>
      <c r="K27" s="4">
        <v>85</v>
      </c>
      <c r="L27" s="4">
        <v>79</v>
      </c>
      <c r="M27" s="4">
        <v>80</v>
      </c>
      <c r="N27" s="4">
        <v>82</v>
      </c>
      <c r="O27" s="4">
        <v>82</v>
      </c>
      <c r="P27" s="5">
        <f t="shared" si="0"/>
        <v>82</v>
      </c>
      <c r="Q27" s="4">
        <v>1</v>
      </c>
      <c r="R27" s="4">
        <v>0</v>
      </c>
      <c r="S27" s="4">
        <v>0</v>
      </c>
      <c r="T27" s="13" t="s">
        <v>622</v>
      </c>
      <c r="U27" s="4"/>
      <c r="V27" s="4" t="s">
        <v>71</v>
      </c>
      <c r="W27" s="4"/>
      <c r="X27" s="4"/>
      <c r="Y27" s="4"/>
      <c r="Z27" s="11"/>
      <c r="AA27" s="13" t="s">
        <v>624</v>
      </c>
    </row>
    <row r="28" spans="1:27" x14ac:dyDescent="0.35">
      <c r="A28" s="4">
        <v>21</v>
      </c>
      <c r="B28" s="4" t="s">
        <v>298</v>
      </c>
      <c r="C28" s="4" t="s">
        <v>299</v>
      </c>
      <c r="D28" s="4">
        <v>4752</v>
      </c>
      <c r="E28" s="4">
        <v>81</v>
      </c>
      <c r="F28" s="4"/>
      <c r="G28" s="4">
        <v>78</v>
      </c>
      <c r="H28" s="4">
        <v>76</v>
      </c>
      <c r="I28" s="4">
        <v>78</v>
      </c>
      <c r="J28" s="4">
        <v>77</v>
      </c>
      <c r="K28" s="4">
        <v>80</v>
      </c>
      <c r="L28" s="4">
        <v>78</v>
      </c>
      <c r="M28" s="4">
        <v>80</v>
      </c>
      <c r="N28" s="4">
        <v>79</v>
      </c>
      <c r="O28" s="4">
        <v>77</v>
      </c>
      <c r="P28" s="5">
        <f t="shared" si="0"/>
        <v>78.400000000000006</v>
      </c>
      <c r="Q28" s="4">
        <v>2</v>
      </c>
      <c r="R28" s="4">
        <v>0</v>
      </c>
      <c r="S28" s="4">
        <v>2</v>
      </c>
      <c r="T28" s="13" t="s">
        <v>622</v>
      </c>
      <c r="U28" s="4"/>
      <c r="V28" s="4" t="s">
        <v>71</v>
      </c>
      <c r="W28" s="4"/>
      <c r="X28" s="4"/>
      <c r="Y28" s="4"/>
      <c r="Z28" s="11"/>
      <c r="AA28" s="13" t="s">
        <v>624</v>
      </c>
    </row>
    <row r="29" spans="1:27" x14ac:dyDescent="0.35">
      <c r="A29" s="4">
        <v>22</v>
      </c>
      <c r="B29" s="4" t="s">
        <v>300</v>
      </c>
      <c r="C29" s="4" t="s">
        <v>301</v>
      </c>
      <c r="D29" s="4">
        <v>4760</v>
      </c>
      <c r="E29" s="4">
        <v>81</v>
      </c>
      <c r="F29" s="4"/>
      <c r="G29" s="4">
        <v>83</v>
      </c>
      <c r="H29" s="4">
        <v>80</v>
      </c>
      <c r="I29" s="4">
        <v>80</v>
      </c>
      <c r="J29" s="4">
        <v>79</v>
      </c>
      <c r="K29" s="4">
        <v>86</v>
      </c>
      <c r="L29" s="4">
        <v>79</v>
      </c>
      <c r="M29" s="4">
        <v>80</v>
      </c>
      <c r="N29" s="4">
        <v>80</v>
      </c>
      <c r="O29" s="4">
        <v>80</v>
      </c>
      <c r="P29" s="5">
        <f t="shared" si="0"/>
        <v>80.8</v>
      </c>
      <c r="Q29" s="4">
        <v>1</v>
      </c>
      <c r="R29" s="4">
        <v>0</v>
      </c>
      <c r="S29" s="4">
        <v>2</v>
      </c>
      <c r="T29" s="13" t="s">
        <v>622</v>
      </c>
      <c r="U29" s="4"/>
      <c r="V29" s="4" t="s">
        <v>71</v>
      </c>
      <c r="W29" s="4"/>
      <c r="X29" s="4"/>
      <c r="Y29" s="4"/>
      <c r="Z29" s="11"/>
      <c r="AA29" s="13" t="s">
        <v>624</v>
      </c>
    </row>
    <row r="30" spans="1:27" x14ac:dyDescent="0.35">
      <c r="A30" s="4">
        <v>23</v>
      </c>
      <c r="B30" s="4" t="s">
        <v>302</v>
      </c>
      <c r="C30" s="4" t="s">
        <v>303</v>
      </c>
      <c r="D30" s="4">
        <v>4768</v>
      </c>
      <c r="E30" s="4">
        <v>84</v>
      </c>
      <c r="F30" s="4"/>
      <c r="G30" s="4">
        <v>83</v>
      </c>
      <c r="H30" s="4">
        <v>83</v>
      </c>
      <c r="I30" s="4">
        <v>82</v>
      </c>
      <c r="J30" s="4">
        <v>81</v>
      </c>
      <c r="K30" s="4">
        <v>86</v>
      </c>
      <c r="L30" s="4">
        <v>79</v>
      </c>
      <c r="M30" s="4">
        <v>82</v>
      </c>
      <c r="N30" s="4">
        <v>82</v>
      </c>
      <c r="O30" s="4">
        <v>80</v>
      </c>
      <c r="P30" s="5">
        <f t="shared" si="0"/>
        <v>82.2</v>
      </c>
      <c r="Q30" s="4">
        <v>0</v>
      </c>
      <c r="R30" s="4">
        <v>0</v>
      </c>
      <c r="S30" s="4">
        <v>0</v>
      </c>
      <c r="T30" s="13" t="s">
        <v>623</v>
      </c>
      <c r="U30" s="4"/>
      <c r="V30" s="4" t="s">
        <v>71</v>
      </c>
      <c r="W30" s="4"/>
      <c r="X30" s="4"/>
      <c r="Y30" s="4"/>
      <c r="Z30" s="11"/>
      <c r="AA30" s="13" t="s">
        <v>624</v>
      </c>
    </row>
    <row r="31" spans="1:27" x14ac:dyDescent="0.35">
      <c r="A31" s="4">
        <v>24</v>
      </c>
      <c r="B31" s="4" t="s">
        <v>304</v>
      </c>
      <c r="C31" s="4" t="s">
        <v>305</v>
      </c>
      <c r="D31" s="4">
        <v>4784</v>
      </c>
      <c r="E31" s="4">
        <v>85</v>
      </c>
      <c r="F31" s="4"/>
      <c r="G31" s="4">
        <v>85</v>
      </c>
      <c r="H31" s="4">
        <v>84</v>
      </c>
      <c r="I31" s="4">
        <v>83</v>
      </c>
      <c r="J31" s="4">
        <v>79</v>
      </c>
      <c r="K31" s="4">
        <v>85</v>
      </c>
      <c r="L31" s="4">
        <v>80</v>
      </c>
      <c r="M31" s="4">
        <v>83</v>
      </c>
      <c r="N31" s="4">
        <v>83</v>
      </c>
      <c r="O31" s="4">
        <v>82</v>
      </c>
      <c r="P31" s="5">
        <f t="shared" si="0"/>
        <v>82.9</v>
      </c>
      <c r="Q31" s="4">
        <v>1</v>
      </c>
      <c r="R31" s="4">
        <v>0</v>
      </c>
      <c r="S31" s="4">
        <v>0</v>
      </c>
      <c r="T31" s="13" t="s">
        <v>622</v>
      </c>
      <c r="U31" s="4"/>
      <c r="V31" s="4" t="s">
        <v>71</v>
      </c>
      <c r="W31" s="4"/>
      <c r="X31" s="4"/>
      <c r="Y31" s="4"/>
      <c r="Z31" s="11"/>
      <c r="AA31" s="13" t="s">
        <v>624</v>
      </c>
    </row>
    <row r="32" spans="1:27" x14ac:dyDescent="0.35">
      <c r="A32" s="4">
        <v>25</v>
      </c>
      <c r="B32" s="4" t="s">
        <v>306</v>
      </c>
      <c r="C32" s="4" t="s">
        <v>307</v>
      </c>
      <c r="D32" s="4">
        <v>4785</v>
      </c>
      <c r="E32" s="4">
        <v>86</v>
      </c>
      <c r="F32" s="4"/>
      <c r="G32" s="4">
        <v>84</v>
      </c>
      <c r="H32" s="4">
        <v>80</v>
      </c>
      <c r="I32" s="4">
        <v>82</v>
      </c>
      <c r="J32" s="4">
        <v>82</v>
      </c>
      <c r="K32" s="4">
        <v>86</v>
      </c>
      <c r="L32" s="4">
        <v>81</v>
      </c>
      <c r="M32" s="4">
        <v>80</v>
      </c>
      <c r="N32" s="4">
        <v>82</v>
      </c>
      <c r="O32" s="4">
        <v>84</v>
      </c>
      <c r="P32" s="5">
        <f t="shared" si="0"/>
        <v>82.7</v>
      </c>
      <c r="Q32" s="4">
        <v>0</v>
      </c>
      <c r="R32" s="4">
        <v>0</v>
      </c>
      <c r="S32" s="4">
        <v>1</v>
      </c>
      <c r="T32" s="13" t="s">
        <v>622</v>
      </c>
      <c r="U32" s="4"/>
      <c r="V32" s="4" t="s">
        <v>71</v>
      </c>
      <c r="W32" s="4"/>
      <c r="X32" s="4"/>
      <c r="Y32" s="4"/>
      <c r="Z32" s="11"/>
      <c r="AA32" s="13" t="s">
        <v>624</v>
      </c>
    </row>
    <row r="33" spans="1:27" x14ac:dyDescent="0.35">
      <c r="A33" s="4">
        <v>26</v>
      </c>
      <c r="B33" s="4" t="s">
        <v>308</v>
      </c>
      <c r="C33" s="4" t="s">
        <v>309</v>
      </c>
      <c r="D33" s="4">
        <v>4805</v>
      </c>
      <c r="E33" s="4">
        <v>85</v>
      </c>
      <c r="F33" s="4"/>
      <c r="G33" s="4">
        <v>84</v>
      </c>
      <c r="H33" s="4">
        <v>84</v>
      </c>
      <c r="I33" s="4">
        <v>84</v>
      </c>
      <c r="J33" s="4">
        <v>83</v>
      </c>
      <c r="K33" s="4">
        <v>86</v>
      </c>
      <c r="L33" s="4">
        <v>82</v>
      </c>
      <c r="M33" s="4">
        <v>83</v>
      </c>
      <c r="N33" s="4">
        <v>83</v>
      </c>
      <c r="O33" s="4">
        <v>84</v>
      </c>
      <c r="P33" s="5">
        <f t="shared" si="0"/>
        <v>83.8</v>
      </c>
      <c r="Q33" s="4">
        <v>2</v>
      </c>
      <c r="R33" s="4">
        <v>0</v>
      </c>
      <c r="S33" s="4">
        <v>1</v>
      </c>
      <c r="T33" s="13" t="s">
        <v>622</v>
      </c>
      <c r="U33" s="4"/>
      <c r="V33" s="4" t="s">
        <v>71</v>
      </c>
      <c r="W33" s="4"/>
      <c r="X33" s="4"/>
      <c r="Y33" s="4"/>
      <c r="Z33" s="11"/>
      <c r="AA33" s="13" t="s">
        <v>624</v>
      </c>
    </row>
    <row r="34" spans="1:27" x14ac:dyDescent="0.35">
      <c r="A34" s="4">
        <v>27</v>
      </c>
      <c r="B34" s="4" t="s">
        <v>310</v>
      </c>
      <c r="C34" s="4" t="s">
        <v>311</v>
      </c>
      <c r="D34" s="4">
        <v>4809</v>
      </c>
      <c r="E34" s="4">
        <v>81</v>
      </c>
      <c r="F34" s="4"/>
      <c r="G34" s="4">
        <v>85</v>
      </c>
      <c r="H34" s="4">
        <v>83</v>
      </c>
      <c r="I34" s="4">
        <v>83</v>
      </c>
      <c r="J34" s="4">
        <v>83</v>
      </c>
      <c r="K34" s="4">
        <v>85</v>
      </c>
      <c r="L34" s="4">
        <v>79</v>
      </c>
      <c r="M34" s="4">
        <v>80</v>
      </c>
      <c r="N34" s="4">
        <v>83</v>
      </c>
      <c r="O34" s="4">
        <v>82</v>
      </c>
      <c r="P34" s="5">
        <f t="shared" si="0"/>
        <v>82.4</v>
      </c>
      <c r="Q34" s="4">
        <v>1</v>
      </c>
      <c r="R34" s="4">
        <v>0</v>
      </c>
      <c r="S34" s="4">
        <v>0</v>
      </c>
      <c r="T34" s="13" t="s">
        <v>622</v>
      </c>
      <c r="U34" s="4"/>
      <c r="V34" s="4" t="s">
        <v>71</v>
      </c>
      <c r="W34" s="4"/>
      <c r="X34" s="4"/>
      <c r="Y34" s="4"/>
      <c r="Z34" s="11"/>
      <c r="AA34" s="13" t="s">
        <v>624</v>
      </c>
    </row>
    <row r="35" spans="1:27" x14ac:dyDescent="0.35">
      <c r="A35" s="4">
        <v>28</v>
      </c>
      <c r="B35" s="4" t="s">
        <v>312</v>
      </c>
      <c r="C35" s="4" t="s">
        <v>313</v>
      </c>
      <c r="D35" s="4">
        <v>4897</v>
      </c>
      <c r="E35" s="4">
        <v>78</v>
      </c>
      <c r="F35" s="4"/>
      <c r="G35" s="4">
        <v>80</v>
      </c>
      <c r="H35" s="4">
        <v>79</v>
      </c>
      <c r="I35" s="4">
        <v>78</v>
      </c>
      <c r="J35" s="4">
        <v>77</v>
      </c>
      <c r="K35" s="4">
        <v>80</v>
      </c>
      <c r="L35" s="4">
        <v>79</v>
      </c>
      <c r="M35" s="4">
        <v>78</v>
      </c>
      <c r="N35" s="4">
        <v>79</v>
      </c>
      <c r="O35" s="4">
        <v>81</v>
      </c>
      <c r="P35" s="5">
        <f t="shared" si="0"/>
        <v>78.900000000000006</v>
      </c>
      <c r="Q35" s="4">
        <v>0</v>
      </c>
      <c r="R35" s="4">
        <v>0</v>
      </c>
      <c r="S35" s="4">
        <v>2</v>
      </c>
      <c r="T35" s="13" t="s">
        <v>622</v>
      </c>
      <c r="U35" s="4"/>
      <c r="V35" s="4" t="s">
        <v>71</v>
      </c>
      <c r="W35" s="4"/>
      <c r="X35" s="4"/>
      <c r="Y35" s="4"/>
      <c r="Z35" s="11"/>
      <c r="AA35" s="13" t="s">
        <v>624</v>
      </c>
    </row>
    <row r="36" spans="1:27" x14ac:dyDescent="0.35">
      <c r="A36" s="4">
        <v>29</v>
      </c>
      <c r="B36" s="4" t="s">
        <v>314</v>
      </c>
      <c r="C36" s="4" t="s">
        <v>315</v>
      </c>
      <c r="D36" s="4">
        <v>4822</v>
      </c>
      <c r="E36" s="4">
        <v>81</v>
      </c>
      <c r="F36" s="4"/>
      <c r="G36" s="4">
        <v>83</v>
      </c>
      <c r="H36" s="4">
        <v>83</v>
      </c>
      <c r="I36" s="4">
        <v>81</v>
      </c>
      <c r="J36" s="4">
        <v>79</v>
      </c>
      <c r="K36" s="4">
        <v>86</v>
      </c>
      <c r="L36" s="4">
        <v>80</v>
      </c>
      <c r="M36" s="4">
        <v>83</v>
      </c>
      <c r="N36" s="4">
        <v>82</v>
      </c>
      <c r="O36" s="4">
        <v>80</v>
      </c>
      <c r="P36" s="5">
        <f t="shared" si="0"/>
        <v>81.8</v>
      </c>
      <c r="Q36" s="4">
        <v>1</v>
      </c>
      <c r="R36" s="4">
        <v>0</v>
      </c>
      <c r="S36" s="4">
        <v>0</v>
      </c>
      <c r="T36" s="13" t="s">
        <v>622</v>
      </c>
      <c r="U36" s="4"/>
      <c r="V36" s="4" t="s">
        <v>71</v>
      </c>
      <c r="W36" s="4"/>
      <c r="X36" s="4"/>
      <c r="Y36" s="4"/>
      <c r="Z36" s="11"/>
      <c r="AA36" s="13" t="s">
        <v>624</v>
      </c>
    </row>
    <row r="37" spans="1:27" x14ac:dyDescent="0.35">
      <c r="A37" s="4">
        <v>30</v>
      </c>
      <c r="B37" s="4" t="s">
        <v>316</v>
      </c>
      <c r="C37" s="4" t="s">
        <v>317</v>
      </c>
      <c r="D37" s="4">
        <v>4824</v>
      </c>
      <c r="E37" s="4">
        <v>81</v>
      </c>
      <c r="F37" s="4"/>
      <c r="G37" s="4">
        <v>79</v>
      </c>
      <c r="H37" s="4">
        <v>79</v>
      </c>
      <c r="I37" s="4">
        <v>78</v>
      </c>
      <c r="J37" s="4">
        <v>78</v>
      </c>
      <c r="K37" s="4">
        <v>84</v>
      </c>
      <c r="L37" s="4">
        <v>79</v>
      </c>
      <c r="M37" s="4">
        <v>80</v>
      </c>
      <c r="N37" s="4">
        <v>80</v>
      </c>
      <c r="O37" s="4">
        <v>80</v>
      </c>
      <c r="P37" s="5">
        <f t="shared" si="0"/>
        <v>79.8</v>
      </c>
      <c r="Q37" s="4">
        <v>2</v>
      </c>
      <c r="R37" s="4">
        <v>0</v>
      </c>
      <c r="S37" s="4">
        <v>2</v>
      </c>
      <c r="T37" s="13" t="s">
        <v>622</v>
      </c>
      <c r="U37" s="4"/>
      <c r="V37" s="4" t="s">
        <v>71</v>
      </c>
      <c r="W37" s="4"/>
      <c r="X37" s="4"/>
      <c r="Y37" s="4"/>
      <c r="Z37" s="11"/>
      <c r="AA37" s="13" t="s">
        <v>624</v>
      </c>
    </row>
    <row r="38" spans="1:27" x14ac:dyDescent="0.35">
      <c r="A38" s="4">
        <v>31</v>
      </c>
      <c r="B38" s="4" t="s">
        <v>318</v>
      </c>
      <c r="C38" s="4" t="s">
        <v>319</v>
      </c>
      <c r="D38" s="4">
        <v>4833</v>
      </c>
      <c r="E38" s="4">
        <v>81</v>
      </c>
      <c r="F38" s="4"/>
      <c r="G38" s="4">
        <v>86</v>
      </c>
      <c r="H38" s="4">
        <v>85</v>
      </c>
      <c r="I38" s="4">
        <v>84</v>
      </c>
      <c r="J38" s="4">
        <v>82</v>
      </c>
      <c r="K38" s="4">
        <v>86</v>
      </c>
      <c r="L38" s="4">
        <v>78</v>
      </c>
      <c r="M38" s="4">
        <v>82</v>
      </c>
      <c r="N38" s="4">
        <v>86</v>
      </c>
      <c r="O38" s="4">
        <v>82</v>
      </c>
      <c r="P38" s="5">
        <f t="shared" si="0"/>
        <v>83.2</v>
      </c>
      <c r="Q38" s="4">
        <v>2</v>
      </c>
      <c r="R38" s="4">
        <v>0</v>
      </c>
      <c r="S38" s="4">
        <v>0</v>
      </c>
      <c r="T38" s="13" t="s">
        <v>622</v>
      </c>
      <c r="U38" s="4"/>
      <c r="V38" s="4" t="s">
        <v>71</v>
      </c>
      <c r="W38" s="4"/>
      <c r="X38" s="4"/>
      <c r="Y38" s="4"/>
      <c r="Z38" s="11"/>
      <c r="AA38" s="13" t="s">
        <v>624</v>
      </c>
    </row>
    <row r="39" spans="1:27" x14ac:dyDescent="0.35">
      <c r="A39" s="4">
        <v>32</v>
      </c>
      <c r="B39" s="4" t="s">
        <v>320</v>
      </c>
      <c r="C39" s="4" t="s">
        <v>321</v>
      </c>
      <c r="D39" s="4">
        <v>4843</v>
      </c>
      <c r="E39" s="4">
        <v>88</v>
      </c>
      <c r="F39" s="4"/>
      <c r="G39" s="4">
        <v>86</v>
      </c>
      <c r="H39" s="4">
        <v>84</v>
      </c>
      <c r="I39" s="4">
        <v>85</v>
      </c>
      <c r="J39" s="4">
        <v>82</v>
      </c>
      <c r="K39" s="4">
        <v>86</v>
      </c>
      <c r="L39" s="4">
        <v>79</v>
      </c>
      <c r="M39" s="4">
        <v>82</v>
      </c>
      <c r="N39" s="4">
        <v>86</v>
      </c>
      <c r="O39" s="4">
        <v>83</v>
      </c>
      <c r="P39" s="5">
        <f t="shared" si="0"/>
        <v>84.1</v>
      </c>
      <c r="Q39" s="4">
        <v>0</v>
      </c>
      <c r="R39" s="4">
        <v>0</v>
      </c>
      <c r="S39" s="4">
        <v>0</v>
      </c>
      <c r="T39" s="13" t="s">
        <v>623</v>
      </c>
      <c r="U39" s="4"/>
      <c r="V39" s="4" t="s">
        <v>71</v>
      </c>
      <c r="W39" s="4"/>
      <c r="X39" s="4"/>
      <c r="Y39" s="4"/>
      <c r="Z39" s="11"/>
      <c r="AA39" s="13" t="s">
        <v>624</v>
      </c>
    </row>
    <row r="40" spans="1:27" x14ac:dyDescent="0.35">
      <c r="A40" s="4">
        <v>33</v>
      </c>
      <c r="B40" s="4" t="s">
        <v>322</v>
      </c>
      <c r="C40" s="4" t="s">
        <v>323</v>
      </c>
      <c r="D40" s="4">
        <v>4852</v>
      </c>
      <c r="E40" s="4">
        <v>88</v>
      </c>
      <c r="F40" s="4"/>
      <c r="G40" s="4">
        <v>87</v>
      </c>
      <c r="H40" s="4">
        <v>89</v>
      </c>
      <c r="I40" s="4">
        <v>88</v>
      </c>
      <c r="J40" s="4">
        <v>87</v>
      </c>
      <c r="K40" s="4">
        <v>86</v>
      </c>
      <c r="L40" s="4">
        <v>88</v>
      </c>
      <c r="M40" s="4">
        <v>87</v>
      </c>
      <c r="N40" s="4">
        <v>87</v>
      </c>
      <c r="O40" s="4">
        <v>88</v>
      </c>
      <c r="P40" s="5">
        <f t="shared" si="0"/>
        <v>87.5</v>
      </c>
      <c r="Q40" s="4">
        <v>0</v>
      </c>
      <c r="R40" s="4">
        <v>0</v>
      </c>
      <c r="S40" s="4">
        <v>0</v>
      </c>
      <c r="T40" s="13" t="s">
        <v>623</v>
      </c>
      <c r="U40" s="4" t="s">
        <v>60</v>
      </c>
      <c r="V40" s="4" t="s">
        <v>71</v>
      </c>
      <c r="W40" s="4"/>
      <c r="X40" s="4"/>
      <c r="Y40" s="4"/>
      <c r="Z40" s="11" t="s">
        <v>71</v>
      </c>
      <c r="AA40" s="13" t="s">
        <v>626</v>
      </c>
    </row>
    <row r="41" spans="1:27" x14ac:dyDescent="0.35">
      <c r="A41" s="4">
        <v>34</v>
      </c>
      <c r="B41" s="4" t="s">
        <v>324</v>
      </c>
      <c r="C41" s="4" t="s">
        <v>325</v>
      </c>
      <c r="D41" s="4">
        <v>4858</v>
      </c>
      <c r="E41" s="4">
        <v>83</v>
      </c>
      <c r="F41" s="4"/>
      <c r="G41" s="4">
        <v>85</v>
      </c>
      <c r="H41" s="4">
        <v>81</v>
      </c>
      <c r="I41" s="4">
        <v>85</v>
      </c>
      <c r="J41" s="4">
        <v>83</v>
      </c>
      <c r="K41" s="4">
        <v>85</v>
      </c>
      <c r="L41" s="4">
        <v>82</v>
      </c>
      <c r="M41" s="4">
        <v>83</v>
      </c>
      <c r="N41" s="4">
        <v>85</v>
      </c>
      <c r="O41" s="4">
        <v>82</v>
      </c>
      <c r="P41" s="5">
        <f t="shared" si="0"/>
        <v>83.4</v>
      </c>
      <c r="Q41" s="4">
        <v>1</v>
      </c>
      <c r="R41" s="4">
        <v>0</v>
      </c>
      <c r="S41" s="4">
        <v>1</v>
      </c>
      <c r="T41" s="13" t="s">
        <v>622</v>
      </c>
      <c r="U41" s="4"/>
      <c r="V41" s="4" t="s">
        <v>71</v>
      </c>
      <c r="W41" s="4"/>
      <c r="X41" s="4"/>
      <c r="Y41" s="4"/>
      <c r="Z41" s="11"/>
      <c r="AA41" s="13" t="s">
        <v>624</v>
      </c>
    </row>
    <row r="42" spans="1:27" x14ac:dyDescent="0.35">
      <c r="A42" s="4">
        <v>35</v>
      </c>
      <c r="B42" s="4" t="s">
        <v>326</v>
      </c>
      <c r="C42" s="4" t="s">
        <v>327</v>
      </c>
      <c r="D42" s="4">
        <v>4862</v>
      </c>
      <c r="E42" s="4">
        <v>84</v>
      </c>
      <c r="F42" s="4"/>
      <c r="G42" s="4">
        <v>87</v>
      </c>
      <c r="H42" s="4">
        <v>85</v>
      </c>
      <c r="I42" s="4">
        <v>84</v>
      </c>
      <c r="J42" s="4">
        <v>83</v>
      </c>
      <c r="K42" s="4">
        <v>86</v>
      </c>
      <c r="L42" s="4">
        <v>84</v>
      </c>
      <c r="M42" s="4">
        <v>83</v>
      </c>
      <c r="N42" s="4">
        <v>85</v>
      </c>
      <c r="O42" s="4">
        <v>86</v>
      </c>
      <c r="P42" s="5">
        <f t="shared" si="0"/>
        <v>84.7</v>
      </c>
      <c r="Q42" s="4">
        <v>0</v>
      </c>
      <c r="R42" s="4">
        <v>0</v>
      </c>
      <c r="S42" s="4">
        <v>0</v>
      </c>
      <c r="T42" s="13" t="s">
        <v>623</v>
      </c>
      <c r="U42" s="4"/>
      <c r="V42" s="4" t="s">
        <v>71</v>
      </c>
      <c r="W42" s="4"/>
      <c r="X42" s="4"/>
      <c r="Y42" s="4"/>
      <c r="Z42" s="11"/>
      <c r="AA42" s="13" t="s">
        <v>624</v>
      </c>
    </row>
    <row r="43" spans="1:27" x14ac:dyDescent="0.35">
      <c r="A43" s="4">
        <v>36</v>
      </c>
      <c r="B43" s="4" t="s">
        <v>328</v>
      </c>
      <c r="C43" s="4" t="s">
        <v>329</v>
      </c>
      <c r="D43" s="4">
        <v>4863</v>
      </c>
      <c r="E43" s="4">
        <v>81</v>
      </c>
      <c r="F43" s="4"/>
      <c r="G43" s="4">
        <v>81</v>
      </c>
      <c r="H43" s="4">
        <v>79</v>
      </c>
      <c r="I43" s="4">
        <v>78</v>
      </c>
      <c r="J43" s="4">
        <v>79</v>
      </c>
      <c r="K43" s="4">
        <v>85</v>
      </c>
      <c r="L43" s="4">
        <v>80</v>
      </c>
      <c r="M43" s="4">
        <v>79</v>
      </c>
      <c r="N43" s="4">
        <v>80</v>
      </c>
      <c r="O43" s="4">
        <v>78</v>
      </c>
      <c r="P43" s="5">
        <f t="shared" si="0"/>
        <v>80</v>
      </c>
      <c r="Q43" s="4">
        <v>0</v>
      </c>
      <c r="R43" s="4">
        <v>0</v>
      </c>
      <c r="S43" s="4">
        <v>0</v>
      </c>
      <c r="T43" s="13" t="s">
        <v>623</v>
      </c>
      <c r="U43" s="4"/>
      <c r="V43" s="4" t="s">
        <v>71</v>
      </c>
      <c r="W43" s="4"/>
      <c r="X43" s="4"/>
      <c r="Y43" s="4"/>
      <c r="Z43" s="11"/>
      <c r="AA43" s="13" t="s">
        <v>624</v>
      </c>
    </row>
  </sheetData>
  <mergeCells count="26">
    <mergeCell ref="M5:M7"/>
    <mergeCell ref="Q4:S6"/>
    <mergeCell ref="AA4:AA7"/>
    <mergeCell ref="U5:U7"/>
    <mergeCell ref="W5:W7"/>
    <mergeCell ref="X5:X7"/>
    <mergeCell ref="Y5:Y7"/>
    <mergeCell ref="Z5:Z7"/>
    <mergeCell ref="V5:V7"/>
    <mergeCell ref="U4:Z4"/>
    <mergeCell ref="A4:A7"/>
    <mergeCell ref="B4:B7"/>
    <mergeCell ref="C4:C7"/>
    <mergeCell ref="D4:D7"/>
    <mergeCell ref="E4:P4"/>
    <mergeCell ref="N5:N7"/>
    <mergeCell ref="O5:O7"/>
    <mergeCell ref="P5:P7"/>
    <mergeCell ref="E5:E7"/>
    <mergeCell ref="F5:F7"/>
    <mergeCell ref="G5:G7"/>
    <mergeCell ref="H5:H7"/>
    <mergeCell ref="I5:I7"/>
    <mergeCell ref="J5:J7"/>
    <mergeCell ref="K5:K7"/>
    <mergeCell ref="L5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9F88-2A26-4318-B493-1D4E8A6BD22C}">
  <dimension ref="A1:Z43"/>
  <sheetViews>
    <sheetView topLeftCell="C5" zoomScale="101" workbookViewId="0">
      <selection activeCell="T30" sqref="T30"/>
    </sheetView>
  </sheetViews>
  <sheetFormatPr defaultRowHeight="14.5" x14ac:dyDescent="0.35"/>
  <cols>
    <col min="1" max="1" width="4" customWidth="1"/>
    <col min="2" max="2" width="27.1796875" bestFit="1" customWidth="1"/>
    <col min="3" max="3" width="11.453125" customWidth="1"/>
    <col min="4" max="4" width="5" bestFit="1" customWidth="1"/>
    <col min="5" max="15" width="5" customWidth="1"/>
    <col min="16" max="16" width="5.7265625" customWidth="1"/>
    <col min="17" max="19" width="5" customWidth="1"/>
    <col min="20" max="20" width="13.453125" customWidth="1"/>
    <col min="21" max="25" width="5" customWidth="1"/>
    <col min="26" max="26" width="11.26953125" customWidth="1"/>
  </cols>
  <sheetData>
    <row r="1" spans="1:26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x14ac:dyDescent="0.35">
      <c r="A3" s="2" t="s">
        <v>3</v>
      </c>
      <c r="B3" s="2"/>
      <c r="C3" s="2" t="s">
        <v>330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x14ac:dyDescent="0.3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 t="s">
        <v>10</v>
      </c>
      <c r="R4" s="15"/>
      <c r="S4" s="16"/>
      <c r="T4" s="7"/>
      <c r="U4" s="18" t="s">
        <v>11</v>
      </c>
      <c r="V4" s="15"/>
      <c r="W4" s="15"/>
      <c r="X4" s="15"/>
      <c r="Y4" s="15"/>
      <c r="Z4" s="15" t="s">
        <v>629</v>
      </c>
    </row>
    <row r="5" spans="1:26" x14ac:dyDescent="0.35">
      <c r="A5" s="15"/>
      <c r="B5" s="15"/>
      <c r="C5" s="15"/>
      <c r="D5" s="15"/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  <c r="M5" s="15" t="s">
        <v>20</v>
      </c>
      <c r="N5" s="15" t="s">
        <v>21</v>
      </c>
      <c r="O5" s="15" t="s">
        <v>22</v>
      </c>
      <c r="P5" s="15" t="s">
        <v>106</v>
      </c>
      <c r="Q5" s="15"/>
      <c r="R5" s="15"/>
      <c r="S5" s="16"/>
      <c r="T5" s="8" t="s">
        <v>548</v>
      </c>
      <c r="U5" s="18" t="s">
        <v>23</v>
      </c>
      <c r="V5" s="15" t="s">
        <v>108</v>
      </c>
      <c r="W5" s="15" t="s">
        <v>109</v>
      </c>
      <c r="X5" s="15" t="s">
        <v>26</v>
      </c>
      <c r="Y5" s="15" t="s">
        <v>257</v>
      </c>
      <c r="Z5" s="15"/>
    </row>
    <row r="6" spans="1:26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8"/>
      <c r="U6" s="18"/>
      <c r="V6" s="15"/>
      <c r="W6" s="15"/>
      <c r="X6" s="15"/>
      <c r="Y6" s="15"/>
      <c r="Z6" s="15"/>
    </row>
    <row r="7" spans="1:26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" t="s">
        <v>29</v>
      </c>
      <c r="R7" s="3" t="s">
        <v>30</v>
      </c>
      <c r="S7" s="6" t="s">
        <v>31</v>
      </c>
      <c r="T7" s="9"/>
      <c r="U7" s="18"/>
      <c r="V7" s="15"/>
      <c r="W7" s="15"/>
      <c r="X7" s="15"/>
      <c r="Y7" s="15"/>
      <c r="Z7" s="17"/>
    </row>
    <row r="8" spans="1:26" x14ac:dyDescent="0.35">
      <c r="A8" s="4">
        <v>1</v>
      </c>
      <c r="B8" s="4" t="s">
        <v>331</v>
      </c>
      <c r="C8" s="4" t="s">
        <v>332</v>
      </c>
      <c r="D8" s="4">
        <v>4589</v>
      </c>
      <c r="E8" s="4">
        <v>83</v>
      </c>
      <c r="F8" s="4"/>
      <c r="G8" s="4">
        <v>82</v>
      </c>
      <c r="H8" s="4">
        <v>80</v>
      </c>
      <c r="I8" s="4">
        <v>84</v>
      </c>
      <c r="J8" s="4">
        <v>82</v>
      </c>
      <c r="K8" s="4">
        <v>86</v>
      </c>
      <c r="L8" s="4">
        <v>79</v>
      </c>
      <c r="M8" s="4">
        <v>80</v>
      </c>
      <c r="N8" s="4">
        <v>82</v>
      </c>
      <c r="O8" s="4">
        <v>81</v>
      </c>
      <c r="P8" s="5">
        <f>AVERAGE(E8:O8)</f>
        <v>81.900000000000006</v>
      </c>
      <c r="Q8" s="4">
        <v>0</v>
      </c>
      <c r="R8" s="4">
        <v>0</v>
      </c>
      <c r="S8" s="4">
        <v>0</v>
      </c>
      <c r="T8" s="13" t="s">
        <v>623</v>
      </c>
      <c r="U8" s="4" t="s">
        <v>71</v>
      </c>
      <c r="V8" s="4"/>
      <c r="W8" s="4" t="s">
        <v>71</v>
      </c>
      <c r="X8" s="4"/>
      <c r="Y8" s="11"/>
      <c r="Z8" s="13" t="s">
        <v>626</v>
      </c>
    </row>
    <row r="9" spans="1:26" x14ac:dyDescent="0.35">
      <c r="A9" s="4">
        <v>2</v>
      </c>
      <c r="B9" s="4" t="s">
        <v>333</v>
      </c>
      <c r="C9" s="4" t="s">
        <v>334</v>
      </c>
      <c r="D9" s="4">
        <v>4597</v>
      </c>
      <c r="E9" s="4">
        <v>86</v>
      </c>
      <c r="F9" s="4"/>
      <c r="G9" s="4">
        <v>83</v>
      </c>
      <c r="H9" s="4">
        <v>78</v>
      </c>
      <c r="I9" s="4">
        <v>83</v>
      </c>
      <c r="J9" s="4">
        <v>79</v>
      </c>
      <c r="K9" s="4">
        <v>85</v>
      </c>
      <c r="L9" s="4">
        <v>79</v>
      </c>
      <c r="M9" s="4">
        <v>80</v>
      </c>
      <c r="N9" s="4">
        <v>82</v>
      </c>
      <c r="O9" s="4">
        <v>82</v>
      </c>
      <c r="P9" s="5">
        <f t="shared" ref="P9:P43" si="0">AVERAGE(E9:O9)</f>
        <v>81.7</v>
      </c>
      <c r="Q9" s="4">
        <v>0</v>
      </c>
      <c r="R9" s="4">
        <v>0</v>
      </c>
      <c r="S9" s="4">
        <v>0</v>
      </c>
      <c r="T9" s="13" t="s">
        <v>623</v>
      </c>
      <c r="U9" s="4" t="s">
        <v>71</v>
      </c>
      <c r="V9" s="4"/>
      <c r="W9" s="4"/>
      <c r="X9" s="4"/>
      <c r="Y9" s="11"/>
      <c r="Z9" s="13" t="s">
        <v>624</v>
      </c>
    </row>
    <row r="10" spans="1:26" x14ac:dyDescent="0.35">
      <c r="A10" s="4">
        <v>3</v>
      </c>
      <c r="B10" s="4" t="s">
        <v>335</v>
      </c>
      <c r="C10" s="4" t="s">
        <v>336</v>
      </c>
      <c r="D10" s="4">
        <v>4610</v>
      </c>
      <c r="E10" s="4">
        <v>81</v>
      </c>
      <c r="F10" s="4"/>
      <c r="G10" s="4">
        <v>82</v>
      </c>
      <c r="H10" s="4">
        <v>79</v>
      </c>
      <c r="I10" s="4">
        <v>80</v>
      </c>
      <c r="J10" s="4">
        <v>80</v>
      </c>
      <c r="K10" s="4">
        <v>86</v>
      </c>
      <c r="L10" s="4">
        <v>79</v>
      </c>
      <c r="M10" s="4">
        <v>80</v>
      </c>
      <c r="N10" s="4">
        <v>80</v>
      </c>
      <c r="O10" s="4">
        <v>80</v>
      </c>
      <c r="P10" s="5">
        <f t="shared" si="0"/>
        <v>80.7</v>
      </c>
      <c r="Q10" s="4">
        <v>0</v>
      </c>
      <c r="R10" s="4">
        <v>0</v>
      </c>
      <c r="S10" s="4">
        <v>0</v>
      </c>
      <c r="T10" s="13" t="s">
        <v>623</v>
      </c>
      <c r="U10" s="4" t="s">
        <v>71</v>
      </c>
      <c r="V10" s="4"/>
      <c r="W10" s="4"/>
      <c r="X10" s="4"/>
      <c r="Y10" s="11"/>
      <c r="Z10" s="13" t="s">
        <v>624</v>
      </c>
    </row>
    <row r="11" spans="1:26" x14ac:dyDescent="0.35">
      <c r="A11" s="4">
        <v>4</v>
      </c>
      <c r="B11" s="4" t="s">
        <v>337</v>
      </c>
      <c r="C11" s="4" t="s">
        <v>338</v>
      </c>
      <c r="D11" s="4">
        <v>4614</v>
      </c>
      <c r="E11" s="4">
        <v>81</v>
      </c>
      <c r="F11" s="4"/>
      <c r="G11" s="4">
        <v>83</v>
      </c>
      <c r="H11" s="4">
        <v>79</v>
      </c>
      <c r="I11" s="4">
        <v>84</v>
      </c>
      <c r="J11" s="4">
        <v>79</v>
      </c>
      <c r="K11" s="4">
        <v>83</v>
      </c>
      <c r="L11" s="4">
        <v>79</v>
      </c>
      <c r="M11" s="4">
        <v>82</v>
      </c>
      <c r="N11" s="4">
        <v>80</v>
      </c>
      <c r="O11" s="4">
        <v>80</v>
      </c>
      <c r="P11" s="5">
        <f t="shared" si="0"/>
        <v>81</v>
      </c>
      <c r="Q11" s="4">
        <v>3</v>
      </c>
      <c r="R11" s="4">
        <v>0</v>
      </c>
      <c r="S11" s="4">
        <v>1</v>
      </c>
      <c r="T11" s="13" t="s">
        <v>622</v>
      </c>
      <c r="U11" s="4" t="s">
        <v>71</v>
      </c>
      <c r="V11" s="4"/>
      <c r="W11" s="4"/>
      <c r="X11" s="4"/>
      <c r="Y11" s="11"/>
      <c r="Z11" s="13" t="s">
        <v>624</v>
      </c>
    </row>
    <row r="12" spans="1:26" x14ac:dyDescent="0.35">
      <c r="A12" s="4">
        <v>5</v>
      </c>
      <c r="B12" s="4" t="s">
        <v>339</v>
      </c>
      <c r="C12" s="4" t="s">
        <v>340</v>
      </c>
      <c r="D12" s="4">
        <v>4617</v>
      </c>
      <c r="E12" s="4">
        <v>87</v>
      </c>
      <c r="F12" s="4"/>
      <c r="G12" s="4">
        <v>86</v>
      </c>
      <c r="H12" s="4">
        <v>87</v>
      </c>
      <c r="I12" s="4">
        <v>86</v>
      </c>
      <c r="J12" s="4">
        <v>83</v>
      </c>
      <c r="K12" s="4">
        <v>84</v>
      </c>
      <c r="L12" s="4">
        <v>84</v>
      </c>
      <c r="M12" s="4">
        <v>82</v>
      </c>
      <c r="N12" s="4">
        <v>87</v>
      </c>
      <c r="O12" s="4">
        <v>88</v>
      </c>
      <c r="P12" s="5">
        <f t="shared" si="0"/>
        <v>85.4</v>
      </c>
      <c r="Q12" s="4">
        <v>0</v>
      </c>
      <c r="R12" s="4">
        <v>0</v>
      </c>
      <c r="S12" s="4">
        <v>0</v>
      </c>
      <c r="T12" s="13" t="s">
        <v>623</v>
      </c>
      <c r="U12" s="4" t="s">
        <v>71</v>
      </c>
      <c r="V12" s="4"/>
      <c r="W12" s="4"/>
      <c r="X12" s="4"/>
      <c r="Y12" s="11"/>
      <c r="Z12" s="13" t="s">
        <v>626</v>
      </c>
    </row>
    <row r="13" spans="1:26" x14ac:dyDescent="0.35">
      <c r="A13" s="4">
        <v>6</v>
      </c>
      <c r="B13" s="4" t="s">
        <v>341</v>
      </c>
      <c r="C13" s="4" t="s">
        <v>342</v>
      </c>
      <c r="D13" s="4">
        <v>4618</v>
      </c>
      <c r="E13" s="4">
        <v>88</v>
      </c>
      <c r="F13" s="4"/>
      <c r="G13" s="4">
        <v>86</v>
      </c>
      <c r="H13" s="4">
        <v>81</v>
      </c>
      <c r="I13" s="4">
        <v>88</v>
      </c>
      <c r="J13" s="4">
        <v>84</v>
      </c>
      <c r="K13" s="4">
        <v>86</v>
      </c>
      <c r="L13" s="4">
        <v>80</v>
      </c>
      <c r="M13" s="4">
        <v>83</v>
      </c>
      <c r="N13" s="4">
        <v>86</v>
      </c>
      <c r="O13" s="4">
        <v>84</v>
      </c>
      <c r="P13" s="5">
        <f t="shared" si="0"/>
        <v>84.6</v>
      </c>
      <c r="Q13" s="4">
        <v>0</v>
      </c>
      <c r="R13" s="4">
        <v>0</v>
      </c>
      <c r="S13" s="4">
        <v>0</v>
      </c>
      <c r="T13" s="13" t="s">
        <v>623</v>
      </c>
      <c r="U13" s="4" t="s">
        <v>71</v>
      </c>
      <c r="V13" s="4"/>
      <c r="W13" s="4"/>
      <c r="X13" s="4"/>
      <c r="Y13" s="11"/>
      <c r="Z13" s="13" t="s">
        <v>624</v>
      </c>
    </row>
    <row r="14" spans="1:26" x14ac:dyDescent="0.35">
      <c r="A14" s="4">
        <v>7</v>
      </c>
      <c r="B14" s="4" t="s">
        <v>343</v>
      </c>
      <c r="C14" s="4" t="s">
        <v>344</v>
      </c>
      <c r="D14" s="4">
        <v>4628</v>
      </c>
      <c r="E14" s="4">
        <v>81</v>
      </c>
      <c r="F14" s="4"/>
      <c r="G14" s="4">
        <v>81</v>
      </c>
      <c r="H14" s="4">
        <v>79</v>
      </c>
      <c r="I14" s="4">
        <v>84</v>
      </c>
      <c r="J14" s="4">
        <v>83</v>
      </c>
      <c r="K14" s="4">
        <v>86</v>
      </c>
      <c r="L14" s="4">
        <v>79</v>
      </c>
      <c r="M14" s="4">
        <v>80</v>
      </c>
      <c r="N14" s="4">
        <v>80</v>
      </c>
      <c r="O14" s="4">
        <v>80</v>
      </c>
      <c r="P14" s="5">
        <f t="shared" si="0"/>
        <v>81.3</v>
      </c>
      <c r="Q14" s="4">
        <v>0</v>
      </c>
      <c r="R14" s="4">
        <v>0</v>
      </c>
      <c r="S14" s="4">
        <v>0</v>
      </c>
      <c r="T14" s="13" t="s">
        <v>623</v>
      </c>
      <c r="U14" s="4" t="s">
        <v>71</v>
      </c>
      <c r="V14" s="4"/>
      <c r="W14" s="4"/>
      <c r="X14" s="4"/>
      <c r="Y14" s="11"/>
      <c r="Z14" s="13" t="s">
        <v>624</v>
      </c>
    </row>
    <row r="15" spans="1:26" x14ac:dyDescent="0.35">
      <c r="A15" s="4">
        <v>8</v>
      </c>
      <c r="B15" s="4" t="s">
        <v>345</v>
      </c>
      <c r="C15" s="4" t="s">
        <v>346</v>
      </c>
      <c r="D15" s="4">
        <v>4635</v>
      </c>
      <c r="E15" s="4">
        <v>81</v>
      </c>
      <c r="F15" s="4"/>
      <c r="G15" s="4">
        <v>81</v>
      </c>
      <c r="H15" s="4">
        <v>81</v>
      </c>
      <c r="I15" s="4">
        <v>84</v>
      </c>
      <c r="J15" s="4">
        <v>80</v>
      </c>
      <c r="K15" s="4">
        <v>87</v>
      </c>
      <c r="L15" s="4">
        <v>79</v>
      </c>
      <c r="M15" s="4">
        <v>80</v>
      </c>
      <c r="N15" s="4">
        <v>80</v>
      </c>
      <c r="O15" s="4">
        <v>82</v>
      </c>
      <c r="P15" s="5">
        <f t="shared" si="0"/>
        <v>81.5</v>
      </c>
      <c r="Q15" s="4">
        <v>0</v>
      </c>
      <c r="R15" s="4">
        <v>0</v>
      </c>
      <c r="S15" s="4">
        <v>0</v>
      </c>
      <c r="T15" s="13" t="s">
        <v>623</v>
      </c>
      <c r="U15" s="4" t="s">
        <v>71</v>
      </c>
      <c r="V15" s="4"/>
      <c r="W15" s="4"/>
      <c r="X15" s="4"/>
      <c r="Y15" s="11"/>
      <c r="Z15" s="13" t="s">
        <v>624</v>
      </c>
    </row>
    <row r="16" spans="1:26" x14ac:dyDescent="0.35">
      <c r="A16" s="4">
        <v>9</v>
      </c>
      <c r="B16" s="4" t="s">
        <v>347</v>
      </c>
      <c r="C16" s="4" t="s">
        <v>348</v>
      </c>
      <c r="D16" s="4">
        <v>4648</v>
      </c>
      <c r="E16" s="4">
        <v>84</v>
      </c>
      <c r="F16" s="4"/>
      <c r="G16" s="4">
        <v>86</v>
      </c>
      <c r="H16" s="4">
        <v>84</v>
      </c>
      <c r="I16" s="4">
        <v>85</v>
      </c>
      <c r="J16" s="4">
        <v>83</v>
      </c>
      <c r="K16" s="4">
        <v>87</v>
      </c>
      <c r="L16" s="4">
        <v>82</v>
      </c>
      <c r="M16" s="4">
        <v>82</v>
      </c>
      <c r="N16" s="4">
        <v>85</v>
      </c>
      <c r="O16" s="4">
        <v>83</v>
      </c>
      <c r="P16" s="5">
        <f t="shared" si="0"/>
        <v>84.1</v>
      </c>
      <c r="Q16" s="4">
        <v>1</v>
      </c>
      <c r="R16" s="4">
        <v>0</v>
      </c>
      <c r="S16" s="4">
        <v>0</v>
      </c>
      <c r="T16" s="13" t="s">
        <v>622</v>
      </c>
      <c r="U16" s="4" t="s">
        <v>71</v>
      </c>
      <c r="V16" s="4"/>
      <c r="W16" s="4"/>
      <c r="X16" s="4"/>
      <c r="Y16" s="11"/>
      <c r="Z16" s="13" t="s">
        <v>624</v>
      </c>
    </row>
    <row r="17" spans="1:26" x14ac:dyDescent="0.35">
      <c r="A17" s="4">
        <v>10</v>
      </c>
      <c r="B17" s="4" t="s">
        <v>349</v>
      </c>
      <c r="C17" s="4" t="s">
        <v>350</v>
      </c>
      <c r="D17" s="4">
        <v>4649</v>
      </c>
      <c r="E17" s="4">
        <v>84</v>
      </c>
      <c r="F17" s="4"/>
      <c r="G17" s="4">
        <v>83</v>
      </c>
      <c r="H17" s="4">
        <v>79</v>
      </c>
      <c r="I17" s="4">
        <v>83</v>
      </c>
      <c r="J17" s="4">
        <v>80</v>
      </c>
      <c r="K17" s="4">
        <v>86</v>
      </c>
      <c r="L17" s="4">
        <v>79</v>
      </c>
      <c r="M17" s="4">
        <v>82</v>
      </c>
      <c r="N17" s="4">
        <v>80</v>
      </c>
      <c r="O17" s="4">
        <v>81</v>
      </c>
      <c r="P17" s="5">
        <f t="shared" si="0"/>
        <v>81.7</v>
      </c>
      <c r="Q17" s="4">
        <v>0</v>
      </c>
      <c r="R17" s="4">
        <v>0</v>
      </c>
      <c r="S17" s="4">
        <v>0</v>
      </c>
      <c r="T17" s="13" t="s">
        <v>623</v>
      </c>
      <c r="U17" s="4" t="s">
        <v>71</v>
      </c>
      <c r="V17" s="4"/>
      <c r="W17" s="4"/>
      <c r="X17" s="4"/>
      <c r="Y17" s="11"/>
      <c r="Z17" s="13" t="s">
        <v>624</v>
      </c>
    </row>
    <row r="18" spans="1:26" x14ac:dyDescent="0.35">
      <c r="A18" s="4">
        <v>11</v>
      </c>
      <c r="B18" s="4" t="s">
        <v>351</v>
      </c>
      <c r="C18" s="4" t="s">
        <v>352</v>
      </c>
      <c r="D18" s="4">
        <v>4659</v>
      </c>
      <c r="E18" s="4">
        <v>81</v>
      </c>
      <c r="F18" s="4"/>
      <c r="G18" s="4">
        <v>85</v>
      </c>
      <c r="H18" s="4">
        <v>82</v>
      </c>
      <c r="I18" s="4">
        <v>85</v>
      </c>
      <c r="J18" s="4">
        <v>80</v>
      </c>
      <c r="K18" s="4">
        <v>85</v>
      </c>
      <c r="L18" s="4">
        <v>80</v>
      </c>
      <c r="M18" s="4">
        <v>83</v>
      </c>
      <c r="N18" s="4">
        <v>84</v>
      </c>
      <c r="O18" s="4">
        <v>82</v>
      </c>
      <c r="P18" s="5">
        <f t="shared" si="0"/>
        <v>82.7</v>
      </c>
      <c r="Q18" s="4">
        <v>1</v>
      </c>
      <c r="R18" s="4">
        <v>0</v>
      </c>
      <c r="S18" s="4">
        <v>0</v>
      </c>
      <c r="T18" s="13" t="s">
        <v>622</v>
      </c>
      <c r="U18" s="4" t="s">
        <v>71</v>
      </c>
      <c r="V18" s="4"/>
      <c r="W18" s="4"/>
      <c r="X18" s="4"/>
      <c r="Y18" s="11"/>
      <c r="Z18" s="13" t="s">
        <v>624</v>
      </c>
    </row>
    <row r="19" spans="1:26" x14ac:dyDescent="0.35">
      <c r="A19" s="4">
        <v>12</v>
      </c>
      <c r="B19" s="4" t="s">
        <v>353</v>
      </c>
      <c r="C19" s="4" t="s">
        <v>354</v>
      </c>
      <c r="D19" s="4">
        <v>4666</v>
      </c>
      <c r="E19" s="4">
        <v>81</v>
      </c>
      <c r="F19" s="4"/>
      <c r="G19" s="4">
        <v>79</v>
      </c>
      <c r="H19" s="4">
        <v>80</v>
      </c>
      <c r="I19" s="4">
        <v>85</v>
      </c>
      <c r="J19" s="4">
        <v>82</v>
      </c>
      <c r="K19" s="4">
        <v>86</v>
      </c>
      <c r="L19" s="4">
        <v>79</v>
      </c>
      <c r="M19" s="4">
        <v>83</v>
      </c>
      <c r="N19" s="4">
        <v>80</v>
      </c>
      <c r="O19" s="4">
        <v>82</v>
      </c>
      <c r="P19" s="5">
        <f t="shared" si="0"/>
        <v>81.7</v>
      </c>
      <c r="Q19" s="4">
        <v>0</v>
      </c>
      <c r="R19" s="4">
        <v>0</v>
      </c>
      <c r="S19" s="4">
        <v>0</v>
      </c>
      <c r="T19" s="13" t="s">
        <v>623</v>
      </c>
      <c r="U19" s="4" t="s">
        <v>71</v>
      </c>
      <c r="V19" s="4"/>
      <c r="W19" s="4"/>
      <c r="X19" s="4"/>
      <c r="Y19" s="11"/>
      <c r="Z19" s="13" t="s">
        <v>624</v>
      </c>
    </row>
    <row r="20" spans="1:26" x14ac:dyDescent="0.35">
      <c r="A20" s="4">
        <v>13</v>
      </c>
      <c r="B20" s="4" t="s">
        <v>355</v>
      </c>
      <c r="C20" s="4" t="s">
        <v>356</v>
      </c>
      <c r="D20" s="4">
        <v>4679</v>
      </c>
      <c r="E20" s="4">
        <v>86</v>
      </c>
      <c r="F20" s="4"/>
      <c r="G20" s="4">
        <v>81</v>
      </c>
      <c r="H20" s="4">
        <v>79</v>
      </c>
      <c r="I20" s="4">
        <v>84</v>
      </c>
      <c r="J20" s="4">
        <v>82</v>
      </c>
      <c r="K20" s="4">
        <v>86</v>
      </c>
      <c r="L20" s="4">
        <v>79</v>
      </c>
      <c r="M20" s="4">
        <v>82</v>
      </c>
      <c r="N20" s="4">
        <v>80</v>
      </c>
      <c r="O20" s="4">
        <v>81</v>
      </c>
      <c r="P20" s="5">
        <f t="shared" si="0"/>
        <v>82</v>
      </c>
      <c r="Q20" s="4">
        <v>0</v>
      </c>
      <c r="R20" s="4">
        <v>0</v>
      </c>
      <c r="S20" s="4">
        <v>0</v>
      </c>
      <c r="T20" s="13" t="s">
        <v>623</v>
      </c>
      <c r="U20" s="4" t="s">
        <v>71</v>
      </c>
      <c r="V20" s="4" t="s">
        <v>71</v>
      </c>
      <c r="W20" s="4"/>
      <c r="X20" s="4"/>
      <c r="Y20" s="11"/>
      <c r="Z20" s="13" t="s">
        <v>624</v>
      </c>
    </row>
    <row r="21" spans="1:26" x14ac:dyDescent="0.35">
      <c r="A21" s="4">
        <v>14</v>
      </c>
      <c r="B21" s="4" t="s">
        <v>357</v>
      </c>
      <c r="C21" s="4" t="s">
        <v>358</v>
      </c>
      <c r="D21" s="4">
        <v>4686</v>
      </c>
      <c r="E21" s="4">
        <v>86</v>
      </c>
      <c r="F21" s="4"/>
      <c r="G21" s="4">
        <v>82</v>
      </c>
      <c r="H21" s="4">
        <v>81</v>
      </c>
      <c r="I21" s="4">
        <v>84</v>
      </c>
      <c r="J21" s="4">
        <v>80</v>
      </c>
      <c r="K21" s="4">
        <v>86</v>
      </c>
      <c r="L21" s="4">
        <v>79</v>
      </c>
      <c r="M21" s="4">
        <v>83</v>
      </c>
      <c r="N21" s="4">
        <v>80</v>
      </c>
      <c r="O21" s="4">
        <v>81</v>
      </c>
      <c r="P21" s="5">
        <f t="shared" si="0"/>
        <v>82.2</v>
      </c>
      <c r="Q21" s="4">
        <v>0</v>
      </c>
      <c r="R21" s="4">
        <v>0</v>
      </c>
      <c r="S21" s="4">
        <v>0</v>
      </c>
      <c r="T21" s="13" t="s">
        <v>623</v>
      </c>
      <c r="U21" s="4" t="s">
        <v>71</v>
      </c>
      <c r="V21" s="4"/>
      <c r="W21" s="4"/>
      <c r="X21" s="4"/>
      <c r="Y21" s="11"/>
      <c r="Z21" s="13" t="s">
        <v>624</v>
      </c>
    </row>
    <row r="22" spans="1:26" x14ac:dyDescent="0.35">
      <c r="A22" s="4">
        <v>15</v>
      </c>
      <c r="B22" s="4" t="s">
        <v>359</v>
      </c>
      <c r="C22" s="4" t="s">
        <v>360</v>
      </c>
      <c r="D22" s="4">
        <v>4688</v>
      </c>
      <c r="E22" s="4">
        <v>86</v>
      </c>
      <c r="F22" s="4"/>
      <c r="G22" s="4">
        <v>83</v>
      </c>
      <c r="H22" s="4">
        <v>83</v>
      </c>
      <c r="I22" s="4">
        <v>85</v>
      </c>
      <c r="J22" s="4">
        <v>80</v>
      </c>
      <c r="K22" s="4">
        <v>83</v>
      </c>
      <c r="L22" s="4">
        <v>82</v>
      </c>
      <c r="M22" s="4">
        <v>83</v>
      </c>
      <c r="N22" s="4">
        <v>84</v>
      </c>
      <c r="O22" s="4">
        <v>81</v>
      </c>
      <c r="P22" s="5">
        <f t="shared" si="0"/>
        <v>83</v>
      </c>
      <c r="Q22" s="4">
        <v>0</v>
      </c>
      <c r="R22" s="4">
        <v>0</v>
      </c>
      <c r="S22" s="4">
        <v>0</v>
      </c>
      <c r="T22" s="13" t="s">
        <v>623</v>
      </c>
      <c r="U22" s="4" t="s">
        <v>71</v>
      </c>
      <c r="V22" s="4"/>
      <c r="W22" s="4"/>
      <c r="X22" s="4"/>
      <c r="Y22" s="11"/>
      <c r="Z22" s="13" t="s">
        <v>624</v>
      </c>
    </row>
    <row r="23" spans="1:26" x14ac:dyDescent="0.35">
      <c r="A23" s="4">
        <v>16</v>
      </c>
      <c r="B23" s="4" t="s">
        <v>361</v>
      </c>
      <c r="C23" s="4" t="s">
        <v>362</v>
      </c>
      <c r="D23" s="4">
        <v>4691</v>
      </c>
      <c r="E23" s="4">
        <v>85</v>
      </c>
      <c r="F23" s="4"/>
      <c r="G23" s="4">
        <v>80</v>
      </c>
      <c r="H23" s="4">
        <v>76</v>
      </c>
      <c r="I23" s="4">
        <v>78</v>
      </c>
      <c r="J23" s="4">
        <v>76</v>
      </c>
      <c r="K23" s="4">
        <v>84</v>
      </c>
      <c r="L23" s="4">
        <v>78</v>
      </c>
      <c r="M23" s="4">
        <v>82</v>
      </c>
      <c r="N23" s="4">
        <v>79</v>
      </c>
      <c r="O23" s="4">
        <v>79</v>
      </c>
      <c r="P23" s="5">
        <f t="shared" si="0"/>
        <v>79.7</v>
      </c>
      <c r="Q23" s="4">
        <v>0</v>
      </c>
      <c r="R23" s="4">
        <v>0</v>
      </c>
      <c r="S23" s="4">
        <v>4</v>
      </c>
      <c r="T23" s="13" t="s">
        <v>622</v>
      </c>
      <c r="U23" s="4" t="s">
        <v>71</v>
      </c>
      <c r="V23" s="4"/>
      <c r="W23" s="4"/>
      <c r="X23" s="4"/>
      <c r="Y23" s="11"/>
      <c r="Z23" s="13" t="s">
        <v>624</v>
      </c>
    </row>
    <row r="24" spans="1:26" x14ac:dyDescent="0.35">
      <c r="A24" s="4">
        <v>17</v>
      </c>
      <c r="B24" s="4" t="s">
        <v>363</v>
      </c>
      <c r="C24" s="4" t="s">
        <v>364</v>
      </c>
      <c r="D24" s="4">
        <v>4700</v>
      </c>
      <c r="E24" s="4">
        <v>81</v>
      </c>
      <c r="F24" s="4"/>
      <c r="G24" s="4">
        <v>83</v>
      </c>
      <c r="H24" s="4">
        <v>77</v>
      </c>
      <c r="I24" s="4">
        <v>82</v>
      </c>
      <c r="J24" s="4">
        <v>78</v>
      </c>
      <c r="K24" s="4">
        <v>85</v>
      </c>
      <c r="L24" s="4">
        <v>79</v>
      </c>
      <c r="M24" s="4">
        <v>82</v>
      </c>
      <c r="N24" s="4">
        <v>80</v>
      </c>
      <c r="O24" s="4">
        <v>79</v>
      </c>
      <c r="P24" s="5">
        <f t="shared" si="0"/>
        <v>80.599999999999994</v>
      </c>
      <c r="Q24" s="4">
        <v>0</v>
      </c>
      <c r="R24" s="4">
        <v>0</v>
      </c>
      <c r="S24" s="4">
        <v>0</v>
      </c>
      <c r="T24" s="13" t="s">
        <v>623</v>
      </c>
      <c r="U24" s="4" t="s">
        <v>71</v>
      </c>
      <c r="V24" s="4"/>
      <c r="W24" s="4"/>
      <c r="X24" s="4"/>
      <c r="Y24" s="11"/>
      <c r="Z24" s="13" t="s">
        <v>624</v>
      </c>
    </row>
    <row r="25" spans="1:26" x14ac:dyDescent="0.35">
      <c r="A25" s="4">
        <v>18</v>
      </c>
      <c r="B25" s="4" t="s">
        <v>365</v>
      </c>
      <c r="C25" s="4" t="s">
        <v>366</v>
      </c>
      <c r="D25" s="4">
        <v>4712</v>
      </c>
      <c r="E25" s="4"/>
      <c r="F25" s="4">
        <v>86</v>
      </c>
      <c r="G25" s="4">
        <v>81</v>
      </c>
      <c r="H25" s="4">
        <v>78</v>
      </c>
      <c r="I25" s="4">
        <v>82</v>
      </c>
      <c r="J25" s="4">
        <v>78</v>
      </c>
      <c r="K25" s="4">
        <v>84</v>
      </c>
      <c r="L25" s="4">
        <v>79</v>
      </c>
      <c r="M25" s="4">
        <v>79</v>
      </c>
      <c r="N25" s="4">
        <v>80</v>
      </c>
      <c r="O25" s="4">
        <v>80</v>
      </c>
      <c r="P25" s="5">
        <f t="shared" si="0"/>
        <v>80.7</v>
      </c>
      <c r="Q25" s="4">
        <v>0</v>
      </c>
      <c r="R25" s="4">
        <v>2</v>
      </c>
      <c r="S25" s="4">
        <v>0</v>
      </c>
      <c r="T25" s="13" t="s">
        <v>622</v>
      </c>
      <c r="U25" s="4" t="s">
        <v>71</v>
      </c>
      <c r="V25" s="4"/>
      <c r="W25" s="4"/>
      <c r="X25" s="4"/>
      <c r="Y25" s="11"/>
      <c r="Z25" s="13" t="s">
        <v>624</v>
      </c>
    </row>
    <row r="26" spans="1:26" x14ac:dyDescent="0.35">
      <c r="A26" s="4">
        <v>19</v>
      </c>
      <c r="B26" s="4" t="s">
        <v>367</v>
      </c>
      <c r="C26" s="4" t="s">
        <v>368</v>
      </c>
      <c r="D26" s="4">
        <v>4720</v>
      </c>
      <c r="E26" s="4">
        <v>87</v>
      </c>
      <c r="F26" s="4"/>
      <c r="G26" s="4">
        <v>86</v>
      </c>
      <c r="H26" s="4">
        <v>82</v>
      </c>
      <c r="I26" s="4">
        <v>85</v>
      </c>
      <c r="J26" s="4">
        <v>82</v>
      </c>
      <c r="K26" s="4">
        <v>82</v>
      </c>
      <c r="L26" s="4">
        <v>79</v>
      </c>
      <c r="M26" s="4">
        <v>80</v>
      </c>
      <c r="N26" s="4">
        <v>85</v>
      </c>
      <c r="O26" s="4">
        <v>83</v>
      </c>
      <c r="P26" s="5">
        <f t="shared" si="0"/>
        <v>83.1</v>
      </c>
      <c r="Q26" s="4">
        <v>1</v>
      </c>
      <c r="R26" s="4">
        <v>0</v>
      </c>
      <c r="S26" s="4">
        <v>0</v>
      </c>
      <c r="T26" s="13" t="s">
        <v>622</v>
      </c>
      <c r="U26" s="4" t="s">
        <v>71</v>
      </c>
      <c r="V26" s="4" t="s">
        <v>71</v>
      </c>
      <c r="W26" s="4"/>
      <c r="X26" s="4"/>
      <c r="Y26" s="11"/>
      <c r="Z26" s="13" t="s">
        <v>624</v>
      </c>
    </row>
    <row r="27" spans="1:26" x14ac:dyDescent="0.35">
      <c r="A27" s="4">
        <v>20</v>
      </c>
      <c r="B27" s="4" t="s">
        <v>369</v>
      </c>
      <c r="C27" s="4" t="s">
        <v>370</v>
      </c>
      <c r="D27" s="4">
        <v>4730</v>
      </c>
      <c r="E27" s="4">
        <v>81</v>
      </c>
      <c r="F27" s="4"/>
      <c r="G27" s="4">
        <v>80</v>
      </c>
      <c r="H27" s="4">
        <v>76</v>
      </c>
      <c r="I27" s="4">
        <v>80</v>
      </c>
      <c r="J27" s="4">
        <v>86</v>
      </c>
      <c r="K27" s="4">
        <v>83</v>
      </c>
      <c r="L27" s="4">
        <v>80</v>
      </c>
      <c r="M27" s="4">
        <v>80</v>
      </c>
      <c r="N27" s="4">
        <v>85</v>
      </c>
      <c r="O27" s="4">
        <v>84</v>
      </c>
      <c r="P27" s="5">
        <f t="shared" si="0"/>
        <v>81.5</v>
      </c>
      <c r="Q27" s="4">
        <v>0</v>
      </c>
      <c r="R27" s="4">
        <v>0</v>
      </c>
      <c r="S27" s="4">
        <v>0</v>
      </c>
      <c r="T27" s="13" t="s">
        <v>623</v>
      </c>
      <c r="U27" s="4" t="s">
        <v>71</v>
      </c>
      <c r="V27" s="4"/>
      <c r="W27" s="4"/>
      <c r="X27" s="4"/>
      <c r="Y27" s="11"/>
      <c r="Z27" s="13" t="s">
        <v>624</v>
      </c>
    </row>
    <row r="28" spans="1:26" x14ac:dyDescent="0.35">
      <c r="A28" s="4">
        <v>21</v>
      </c>
      <c r="B28" s="4" t="s">
        <v>371</v>
      </c>
      <c r="C28" s="4" t="s">
        <v>372</v>
      </c>
      <c r="D28" s="4">
        <v>4739</v>
      </c>
      <c r="E28" s="4">
        <v>88</v>
      </c>
      <c r="F28" s="4"/>
      <c r="G28" s="4">
        <v>83</v>
      </c>
      <c r="H28" s="4">
        <v>82</v>
      </c>
      <c r="I28" s="4">
        <v>84</v>
      </c>
      <c r="J28" s="4">
        <v>82</v>
      </c>
      <c r="K28" s="4">
        <v>83</v>
      </c>
      <c r="L28" s="4">
        <v>79</v>
      </c>
      <c r="M28" s="4">
        <v>83</v>
      </c>
      <c r="N28" s="4">
        <v>82</v>
      </c>
      <c r="O28" s="4">
        <v>81</v>
      </c>
      <c r="P28" s="5">
        <f t="shared" si="0"/>
        <v>82.7</v>
      </c>
      <c r="Q28" s="4">
        <v>1</v>
      </c>
      <c r="R28" s="4">
        <v>0</v>
      </c>
      <c r="S28" s="4">
        <v>0</v>
      </c>
      <c r="T28" s="13" t="s">
        <v>622</v>
      </c>
      <c r="U28" s="4" t="s">
        <v>71</v>
      </c>
      <c r="V28" s="4"/>
      <c r="W28" s="4"/>
      <c r="X28" s="4"/>
      <c r="Y28" s="11"/>
      <c r="Z28" s="13" t="s">
        <v>624</v>
      </c>
    </row>
    <row r="29" spans="1:26" x14ac:dyDescent="0.35">
      <c r="A29" s="4">
        <v>22</v>
      </c>
      <c r="B29" s="4" t="s">
        <v>373</v>
      </c>
      <c r="C29" s="4" t="s">
        <v>374</v>
      </c>
      <c r="D29" s="4">
        <v>4740</v>
      </c>
      <c r="E29" s="4">
        <v>88</v>
      </c>
      <c r="F29" s="4"/>
      <c r="G29" s="4">
        <v>83</v>
      </c>
      <c r="H29" s="4">
        <v>83</v>
      </c>
      <c r="I29" s="4">
        <v>84</v>
      </c>
      <c r="J29" s="4">
        <v>82</v>
      </c>
      <c r="K29" s="4">
        <v>83</v>
      </c>
      <c r="L29" s="4">
        <v>79</v>
      </c>
      <c r="M29" s="4">
        <v>83</v>
      </c>
      <c r="N29" s="4">
        <v>82</v>
      </c>
      <c r="O29" s="4">
        <v>81</v>
      </c>
      <c r="P29" s="5">
        <f t="shared" si="0"/>
        <v>82.8</v>
      </c>
      <c r="Q29" s="4">
        <v>1</v>
      </c>
      <c r="R29" s="4">
        <v>0</v>
      </c>
      <c r="S29" s="4">
        <v>0</v>
      </c>
      <c r="T29" s="13" t="s">
        <v>622</v>
      </c>
      <c r="U29" s="4" t="s">
        <v>71</v>
      </c>
      <c r="V29" s="4"/>
      <c r="W29" s="4"/>
      <c r="X29" s="4"/>
      <c r="Y29" s="11"/>
      <c r="Z29" s="13" t="s">
        <v>624</v>
      </c>
    </row>
    <row r="30" spans="1:26" x14ac:dyDescent="0.35">
      <c r="A30" s="4">
        <v>23</v>
      </c>
      <c r="B30" s="4" t="s">
        <v>375</v>
      </c>
      <c r="C30" s="4" t="s">
        <v>376</v>
      </c>
      <c r="D30" s="4">
        <v>4753</v>
      </c>
      <c r="E30" s="4">
        <v>81</v>
      </c>
      <c r="F30" s="4"/>
      <c r="G30" s="4">
        <v>79</v>
      </c>
      <c r="H30" s="4">
        <v>77</v>
      </c>
      <c r="I30" s="4">
        <v>78</v>
      </c>
      <c r="J30" s="4">
        <v>79</v>
      </c>
      <c r="K30" s="4">
        <v>84</v>
      </c>
      <c r="L30" s="4">
        <v>78</v>
      </c>
      <c r="M30" s="4">
        <v>78</v>
      </c>
      <c r="N30" s="4">
        <v>80</v>
      </c>
      <c r="O30" s="4">
        <v>78</v>
      </c>
      <c r="P30" s="5">
        <f t="shared" si="0"/>
        <v>79.2</v>
      </c>
      <c r="Q30" s="4">
        <v>0</v>
      </c>
      <c r="R30" s="4">
        <v>0</v>
      </c>
      <c r="S30" s="4">
        <v>0</v>
      </c>
      <c r="T30" s="14" t="s">
        <v>622</v>
      </c>
      <c r="U30" s="4" t="s">
        <v>71</v>
      </c>
      <c r="V30" s="4"/>
      <c r="W30" s="4"/>
      <c r="X30" s="4"/>
      <c r="Y30" s="11"/>
      <c r="Z30" s="13" t="s">
        <v>624</v>
      </c>
    </row>
    <row r="31" spans="1:26" x14ac:dyDescent="0.35">
      <c r="A31" s="4">
        <v>24</v>
      </c>
      <c r="B31" s="4" t="s">
        <v>377</v>
      </c>
      <c r="C31" s="4" t="s">
        <v>378</v>
      </c>
      <c r="D31" s="4">
        <v>4761</v>
      </c>
      <c r="E31" s="4">
        <v>86</v>
      </c>
      <c r="F31" s="4"/>
      <c r="G31" s="4">
        <v>83</v>
      </c>
      <c r="H31" s="4">
        <v>81</v>
      </c>
      <c r="I31" s="4">
        <v>84</v>
      </c>
      <c r="J31" s="4">
        <v>80</v>
      </c>
      <c r="K31" s="4">
        <v>85</v>
      </c>
      <c r="L31" s="4">
        <v>80</v>
      </c>
      <c r="M31" s="4">
        <v>82</v>
      </c>
      <c r="N31" s="4">
        <v>80</v>
      </c>
      <c r="O31" s="4">
        <v>80</v>
      </c>
      <c r="P31" s="5">
        <f t="shared" si="0"/>
        <v>82.1</v>
      </c>
      <c r="Q31" s="4">
        <v>0</v>
      </c>
      <c r="R31" s="4">
        <v>0</v>
      </c>
      <c r="S31" s="4">
        <v>0</v>
      </c>
      <c r="T31" s="13" t="s">
        <v>623</v>
      </c>
      <c r="U31" s="4" t="s">
        <v>71</v>
      </c>
      <c r="V31" s="4"/>
      <c r="W31" s="4"/>
      <c r="X31" s="4"/>
      <c r="Y31" s="11"/>
      <c r="Z31" s="13" t="s">
        <v>624</v>
      </c>
    </row>
    <row r="32" spans="1:26" x14ac:dyDescent="0.35">
      <c r="A32" s="4">
        <v>25</v>
      </c>
      <c r="B32" s="4" t="s">
        <v>379</v>
      </c>
      <c r="C32" s="4" t="s">
        <v>380</v>
      </c>
      <c r="D32" s="4">
        <v>4769</v>
      </c>
      <c r="E32" s="4">
        <v>87</v>
      </c>
      <c r="F32" s="4"/>
      <c r="G32" s="4">
        <v>85</v>
      </c>
      <c r="H32" s="4">
        <v>81</v>
      </c>
      <c r="I32" s="4">
        <v>84</v>
      </c>
      <c r="J32" s="4">
        <v>85</v>
      </c>
      <c r="K32" s="4">
        <v>85</v>
      </c>
      <c r="L32" s="4">
        <v>80</v>
      </c>
      <c r="M32" s="4">
        <v>82</v>
      </c>
      <c r="N32" s="4">
        <v>87</v>
      </c>
      <c r="O32" s="4">
        <v>82</v>
      </c>
      <c r="P32" s="5">
        <f t="shared" si="0"/>
        <v>83.8</v>
      </c>
      <c r="Q32" s="4">
        <v>0</v>
      </c>
      <c r="R32" s="4">
        <v>0</v>
      </c>
      <c r="S32" s="4">
        <v>0</v>
      </c>
      <c r="T32" s="13" t="s">
        <v>623</v>
      </c>
      <c r="U32" s="4" t="s">
        <v>71</v>
      </c>
      <c r="V32" s="4"/>
      <c r="W32" s="4"/>
      <c r="X32" s="4" t="s">
        <v>71</v>
      </c>
      <c r="Y32" s="11"/>
      <c r="Z32" s="13" t="s">
        <v>626</v>
      </c>
    </row>
    <row r="33" spans="1:26" x14ac:dyDescent="0.35">
      <c r="A33" s="4">
        <v>26</v>
      </c>
      <c r="B33" s="4" t="s">
        <v>381</v>
      </c>
      <c r="C33" s="4" t="s">
        <v>382</v>
      </c>
      <c r="D33" s="4">
        <v>4778</v>
      </c>
      <c r="E33" s="4">
        <v>88</v>
      </c>
      <c r="F33" s="4"/>
      <c r="G33" s="4">
        <v>85</v>
      </c>
      <c r="H33" s="4">
        <v>86</v>
      </c>
      <c r="I33" s="4">
        <v>87</v>
      </c>
      <c r="J33" s="4">
        <v>82</v>
      </c>
      <c r="K33" s="4">
        <v>83</v>
      </c>
      <c r="L33" s="4">
        <v>80</v>
      </c>
      <c r="M33" s="4">
        <v>84</v>
      </c>
      <c r="N33" s="4">
        <v>85</v>
      </c>
      <c r="O33" s="4">
        <v>82</v>
      </c>
      <c r="P33" s="5">
        <f t="shared" si="0"/>
        <v>84.2</v>
      </c>
      <c r="Q33" s="4">
        <v>0</v>
      </c>
      <c r="R33" s="4">
        <v>0</v>
      </c>
      <c r="S33" s="4">
        <v>0</v>
      </c>
      <c r="T33" s="13" t="s">
        <v>623</v>
      </c>
      <c r="U33" s="4" t="s">
        <v>71</v>
      </c>
      <c r="V33" s="4"/>
      <c r="W33" s="4"/>
      <c r="X33" s="4"/>
      <c r="Y33" s="11"/>
      <c r="Z33" s="13" t="s">
        <v>624</v>
      </c>
    </row>
    <row r="34" spans="1:26" x14ac:dyDescent="0.35">
      <c r="A34" s="4">
        <v>27</v>
      </c>
      <c r="B34" s="4" t="s">
        <v>383</v>
      </c>
      <c r="C34" s="4" t="s">
        <v>384</v>
      </c>
      <c r="D34" s="4">
        <v>4787</v>
      </c>
      <c r="E34" s="4">
        <v>88</v>
      </c>
      <c r="F34" s="4"/>
      <c r="G34" s="4">
        <v>86</v>
      </c>
      <c r="H34" s="4">
        <v>87</v>
      </c>
      <c r="I34" s="4">
        <v>87</v>
      </c>
      <c r="J34" s="4">
        <v>86</v>
      </c>
      <c r="K34" s="4">
        <v>84</v>
      </c>
      <c r="L34" s="4">
        <v>81</v>
      </c>
      <c r="M34" s="4">
        <v>84</v>
      </c>
      <c r="N34" s="4">
        <v>85</v>
      </c>
      <c r="O34" s="4">
        <v>83</v>
      </c>
      <c r="P34" s="5">
        <f t="shared" si="0"/>
        <v>85.1</v>
      </c>
      <c r="Q34" s="4">
        <v>1</v>
      </c>
      <c r="R34" s="4">
        <v>0</v>
      </c>
      <c r="S34" s="4">
        <v>0</v>
      </c>
      <c r="T34" s="13" t="s">
        <v>623</v>
      </c>
      <c r="U34" s="4" t="s">
        <v>71</v>
      </c>
      <c r="V34" s="4"/>
      <c r="W34" s="4"/>
      <c r="X34" s="4"/>
      <c r="Y34" s="11"/>
      <c r="Z34" s="13" t="s">
        <v>625</v>
      </c>
    </row>
    <row r="35" spans="1:26" x14ac:dyDescent="0.35">
      <c r="A35" s="4">
        <v>28</v>
      </c>
      <c r="B35" s="4" t="s">
        <v>385</v>
      </c>
      <c r="C35" s="4" t="s">
        <v>386</v>
      </c>
      <c r="D35" s="4">
        <v>4795</v>
      </c>
      <c r="E35" s="4">
        <v>87</v>
      </c>
      <c r="F35" s="4"/>
      <c r="G35" s="4">
        <v>81</v>
      </c>
      <c r="H35" s="4">
        <v>83</v>
      </c>
      <c r="I35" s="4">
        <v>85</v>
      </c>
      <c r="J35" s="4">
        <v>83</v>
      </c>
      <c r="K35" s="4">
        <v>85</v>
      </c>
      <c r="L35" s="4">
        <v>85</v>
      </c>
      <c r="M35" s="4">
        <v>79</v>
      </c>
      <c r="N35" s="4">
        <v>86</v>
      </c>
      <c r="O35" s="4">
        <v>83</v>
      </c>
      <c r="P35" s="5">
        <f t="shared" si="0"/>
        <v>83.7</v>
      </c>
      <c r="Q35" s="4">
        <v>0</v>
      </c>
      <c r="R35" s="4">
        <v>0</v>
      </c>
      <c r="S35" s="4">
        <v>0</v>
      </c>
      <c r="T35" s="13" t="s">
        <v>623</v>
      </c>
      <c r="U35" s="4" t="s">
        <v>60</v>
      </c>
      <c r="V35" s="4"/>
      <c r="W35" s="4"/>
      <c r="X35" s="4"/>
      <c r="Y35" s="11"/>
      <c r="Z35" s="13" t="s">
        <v>624</v>
      </c>
    </row>
    <row r="36" spans="1:26" x14ac:dyDescent="0.35">
      <c r="A36" s="4">
        <v>29</v>
      </c>
      <c r="B36" s="4" t="s">
        <v>387</v>
      </c>
      <c r="C36" s="4" t="s">
        <v>388</v>
      </c>
      <c r="D36" s="4">
        <v>4806</v>
      </c>
      <c r="E36" s="4">
        <v>87</v>
      </c>
      <c r="F36" s="4"/>
      <c r="G36" s="4">
        <v>84</v>
      </c>
      <c r="H36" s="4">
        <v>79</v>
      </c>
      <c r="I36" s="4">
        <v>84</v>
      </c>
      <c r="J36" s="4">
        <v>82</v>
      </c>
      <c r="K36" s="4">
        <v>86</v>
      </c>
      <c r="L36" s="4">
        <v>84</v>
      </c>
      <c r="M36" s="4">
        <v>82</v>
      </c>
      <c r="N36" s="4">
        <v>82</v>
      </c>
      <c r="O36" s="4">
        <v>83</v>
      </c>
      <c r="P36" s="5">
        <f t="shared" si="0"/>
        <v>83.3</v>
      </c>
      <c r="Q36" s="4">
        <v>0</v>
      </c>
      <c r="R36" s="4">
        <v>0</v>
      </c>
      <c r="S36" s="4">
        <v>0</v>
      </c>
      <c r="T36" s="13" t="s">
        <v>623</v>
      </c>
      <c r="U36" s="4" t="s">
        <v>71</v>
      </c>
      <c r="V36" s="4"/>
      <c r="W36" s="4" t="s">
        <v>71</v>
      </c>
      <c r="X36" s="4" t="s">
        <v>71</v>
      </c>
      <c r="Y36" s="11"/>
      <c r="Z36" s="13" t="s">
        <v>630</v>
      </c>
    </row>
    <row r="37" spans="1:26" x14ac:dyDescent="0.35">
      <c r="A37" s="4">
        <v>30</v>
      </c>
      <c r="B37" s="4" t="s">
        <v>389</v>
      </c>
      <c r="C37" s="4" t="s">
        <v>390</v>
      </c>
      <c r="D37" s="4">
        <v>4812</v>
      </c>
      <c r="E37" s="4">
        <v>88</v>
      </c>
      <c r="F37" s="4"/>
      <c r="G37" s="4">
        <v>85</v>
      </c>
      <c r="H37" s="4">
        <v>87</v>
      </c>
      <c r="I37" s="4">
        <v>88</v>
      </c>
      <c r="J37" s="4">
        <v>83</v>
      </c>
      <c r="K37" s="4">
        <v>85</v>
      </c>
      <c r="L37" s="4">
        <v>85</v>
      </c>
      <c r="M37" s="4">
        <v>87</v>
      </c>
      <c r="N37" s="4">
        <v>87</v>
      </c>
      <c r="O37" s="4">
        <v>88</v>
      </c>
      <c r="P37" s="5">
        <f t="shared" si="0"/>
        <v>86.3</v>
      </c>
      <c r="Q37" s="4">
        <v>0</v>
      </c>
      <c r="R37" s="4">
        <v>0</v>
      </c>
      <c r="S37" s="4">
        <v>0</v>
      </c>
      <c r="T37" s="13" t="s">
        <v>623</v>
      </c>
      <c r="U37" s="4" t="s">
        <v>71</v>
      </c>
      <c r="V37" s="4" t="s">
        <v>71</v>
      </c>
      <c r="W37" s="4"/>
      <c r="X37" s="4"/>
      <c r="Y37" s="11" t="s">
        <v>71</v>
      </c>
      <c r="Z37" s="13" t="s">
        <v>624</v>
      </c>
    </row>
    <row r="38" spans="1:26" x14ac:dyDescent="0.35">
      <c r="A38" s="4">
        <v>31</v>
      </c>
      <c r="B38" s="4" t="s">
        <v>391</v>
      </c>
      <c r="C38" s="4" t="s">
        <v>392</v>
      </c>
      <c r="D38" s="4">
        <v>4825</v>
      </c>
      <c r="E38" s="4">
        <v>85</v>
      </c>
      <c r="F38" s="4"/>
      <c r="G38" s="4">
        <v>82</v>
      </c>
      <c r="H38" s="4">
        <v>81</v>
      </c>
      <c r="I38" s="4">
        <v>83</v>
      </c>
      <c r="J38" s="4">
        <v>80</v>
      </c>
      <c r="K38" s="4">
        <v>83</v>
      </c>
      <c r="L38" s="4">
        <v>80</v>
      </c>
      <c r="M38" s="4">
        <v>82</v>
      </c>
      <c r="N38" s="4">
        <v>80</v>
      </c>
      <c r="O38" s="4">
        <v>82</v>
      </c>
      <c r="P38" s="5">
        <f t="shared" si="0"/>
        <v>81.8</v>
      </c>
      <c r="Q38" s="4">
        <v>0</v>
      </c>
      <c r="R38" s="4">
        <v>0</v>
      </c>
      <c r="S38" s="4">
        <v>0</v>
      </c>
      <c r="T38" s="13" t="s">
        <v>623</v>
      </c>
      <c r="U38" s="4" t="s">
        <v>71</v>
      </c>
      <c r="V38" s="4"/>
      <c r="W38" s="4"/>
      <c r="X38" s="4"/>
      <c r="Y38" s="11"/>
      <c r="Z38" s="13" t="s">
        <v>624</v>
      </c>
    </row>
    <row r="39" spans="1:26" x14ac:dyDescent="0.35">
      <c r="A39" s="4">
        <v>32</v>
      </c>
      <c r="B39" s="4" t="s">
        <v>393</v>
      </c>
      <c r="C39" s="4" t="s">
        <v>394</v>
      </c>
      <c r="D39" s="4">
        <v>4830</v>
      </c>
      <c r="E39" s="4">
        <v>82</v>
      </c>
      <c r="F39" s="4"/>
      <c r="G39" s="4">
        <v>82</v>
      </c>
      <c r="H39" s="4">
        <v>80</v>
      </c>
      <c r="I39" s="4">
        <v>83</v>
      </c>
      <c r="J39" s="4">
        <v>78</v>
      </c>
      <c r="K39" s="4">
        <v>83</v>
      </c>
      <c r="L39" s="4">
        <v>79</v>
      </c>
      <c r="M39" s="4">
        <v>82</v>
      </c>
      <c r="N39" s="4">
        <v>80</v>
      </c>
      <c r="O39" s="4">
        <v>80</v>
      </c>
      <c r="P39" s="5">
        <f t="shared" si="0"/>
        <v>80.900000000000006</v>
      </c>
      <c r="Q39" s="4">
        <v>1</v>
      </c>
      <c r="R39" s="4">
        <v>0</v>
      </c>
      <c r="S39" s="4">
        <v>0</v>
      </c>
      <c r="T39" s="13" t="s">
        <v>622</v>
      </c>
      <c r="U39" s="4" t="s">
        <v>71</v>
      </c>
      <c r="V39" s="4"/>
      <c r="W39" s="4"/>
      <c r="X39" s="4"/>
      <c r="Y39" s="11"/>
      <c r="Z39" s="13" t="s">
        <v>624</v>
      </c>
    </row>
    <row r="40" spans="1:26" x14ac:dyDescent="0.35">
      <c r="A40" s="4">
        <v>33</v>
      </c>
      <c r="B40" s="4" t="s">
        <v>395</v>
      </c>
      <c r="C40" s="4" t="s">
        <v>396</v>
      </c>
      <c r="D40" s="4">
        <v>4848</v>
      </c>
      <c r="E40" s="4">
        <v>81</v>
      </c>
      <c r="F40" s="4"/>
      <c r="G40" s="4">
        <v>77</v>
      </c>
      <c r="H40" s="4">
        <v>78</v>
      </c>
      <c r="I40" s="4">
        <v>80</v>
      </c>
      <c r="J40" s="4">
        <v>75</v>
      </c>
      <c r="K40" s="4">
        <v>83</v>
      </c>
      <c r="L40" s="4">
        <v>79</v>
      </c>
      <c r="M40" s="4">
        <v>79</v>
      </c>
      <c r="N40" s="4">
        <v>79</v>
      </c>
      <c r="O40" s="4">
        <v>79</v>
      </c>
      <c r="P40" s="5">
        <f t="shared" si="0"/>
        <v>79</v>
      </c>
      <c r="Q40" s="4">
        <v>1</v>
      </c>
      <c r="R40" s="4">
        <v>0</v>
      </c>
      <c r="S40" s="4">
        <v>3</v>
      </c>
      <c r="T40" s="13" t="s">
        <v>622</v>
      </c>
      <c r="U40" s="4" t="s">
        <v>71</v>
      </c>
      <c r="V40" s="4"/>
      <c r="W40" s="4"/>
      <c r="X40" s="4"/>
      <c r="Y40" s="11"/>
      <c r="Z40" s="13" t="s">
        <v>624</v>
      </c>
    </row>
    <row r="41" spans="1:26" x14ac:dyDescent="0.35">
      <c r="A41" s="4">
        <v>34</v>
      </c>
      <c r="B41" s="4" t="s">
        <v>397</v>
      </c>
      <c r="C41" s="4" t="s">
        <v>398</v>
      </c>
      <c r="D41" s="4">
        <v>4857</v>
      </c>
      <c r="E41" s="4">
        <v>88</v>
      </c>
      <c r="F41" s="4"/>
      <c r="G41" s="4">
        <v>84</v>
      </c>
      <c r="H41" s="4">
        <v>81</v>
      </c>
      <c r="I41" s="4">
        <v>85</v>
      </c>
      <c r="J41" s="4">
        <v>80</v>
      </c>
      <c r="K41" s="4">
        <v>85</v>
      </c>
      <c r="L41" s="4">
        <v>82</v>
      </c>
      <c r="M41" s="4">
        <v>85</v>
      </c>
      <c r="N41" s="4">
        <v>82</v>
      </c>
      <c r="O41" s="4">
        <v>83</v>
      </c>
      <c r="P41" s="5">
        <f t="shared" si="0"/>
        <v>83.5</v>
      </c>
      <c r="Q41" s="4">
        <v>0</v>
      </c>
      <c r="R41" s="4">
        <v>0</v>
      </c>
      <c r="S41" s="4">
        <v>0</v>
      </c>
      <c r="T41" s="13" t="s">
        <v>623</v>
      </c>
      <c r="U41" s="4" t="s">
        <v>71</v>
      </c>
      <c r="V41" s="4"/>
      <c r="W41" s="4"/>
      <c r="X41" s="4"/>
      <c r="Y41" s="11"/>
      <c r="Z41" s="13" t="s">
        <v>624</v>
      </c>
    </row>
    <row r="42" spans="1:26" x14ac:dyDescent="0.35">
      <c r="A42" s="4">
        <v>35</v>
      </c>
      <c r="B42" s="4" t="s">
        <v>399</v>
      </c>
      <c r="C42" s="4" t="s">
        <v>400</v>
      </c>
      <c r="D42" s="4">
        <v>4859</v>
      </c>
      <c r="E42" s="4">
        <v>87</v>
      </c>
      <c r="F42" s="4"/>
      <c r="G42" s="4">
        <v>86</v>
      </c>
      <c r="H42" s="4">
        <v>84</v>
      </c>
      <c r="I42" s="4">
        <v>85</v>
      </c>
      <c r="J42" s="4">
        <v>84</v>
      </c>
      <c r="K42" s="4">
        <v>84</v>
      </c>
      <c r="L42" s="4">
        <v>84</v>
      </c>
      <c r="M42" s="4">
        <v>84</v>
      </c>
      <c r="N42" s="4">
        <v>84</v>
      </c>
      <c r="O42" s="4">
        <v>83</v>
      </c>
      <c r="P42" s="5">
        <f t="shared" si="0"/>
        <v>84.5</v>
      </c>
      <c r="Q42" s="4">
        <v>0</v>
      </c>
      <c r="R42" s="4">
        <v>0</v>
      </c>
      <c r="S42" s="4">
        <v>0</v>
      </c>
      <c r="T42" s="13" t="s">
        <v>623</v>
      </c>
      <c r="U42" s="4" t="s">
        <v>71</v>
      </c>
      <c r="V42" s="4"/>
      <c r="W42" s="4"/>
      <c r="X42" s="4"/>
      <c r="Y42" s="11"/>
      <c r="Z42" s="13" t="s">
        <v>624</v>
      </c>
    </row>
    <row r="43" spans="1:26" x14ac:dyDescent="0.35">
      <c r="A43" s="4">
        <v>36</v>
      </c>
      <c r="B43" s="4" t="s">
        <v>401</v>
      </c>
      <c r="C43" s="4" t="s">
        <v>402</v>
      </c>
      <c r="D43" s="4">
        <v>4864</v>
      </c>
      <c r="E43" s="4">
        <v>81</v>
      </c>
      <c r="F43" s="4"/>
      <c r="G43" s="4">
        <v>70</v>
      </c>
      <c r="H43" s="4">
        <v>70</v>
      </c>
      <c r="I43" s="4">
        <v>70</v>
      </c>
      <c r="J43" s="4">
        <v>75</v>
      </c>
      <c r="K43" s="4">
        <v>78</v>
      </c>
      <c r="L43" s="4">
        <v>70</v>
      </c>
      <c r="M43" s="4">
        <v>77</v>
      </c>
      <c r="N43" s="4">
        <v>79</v>
      </c>
      <c r="O43" s="4">
        <v>73</v>
      </c>
      <c r="P43" s="5">
        <f t="shared" si="0"/>
        <v>74.3</v>
      </c>
      <c r="Q43" s="4">
        <v>0</v>
      </c>
      <c r="R43" s="4">
        <v>0</v>
      </c>
      <c r="S43" s="4">
        <v>45</v>
      </c>
      <c r="T43" s="13" t="s">
        <v>622</v>
      </c>
      <c r="U43" s="4" t="s">
        <v>71</v>
      </c>
      <c r="V43" s="4"/>
      <c r="W43" s="4"/>
      <c r="X43" s="4"/>
      <c r="Y43" s="11"/>
      <c r="Z43" s="13" t="s">
        <v>624</v>
      </c>
    </row>
  </sheetData>
  <mergeCells count="25">
    <mergeCell ref="Z4:Z7"/>
    <mergeCell ref="U4:Y4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Q4:S6"/>
    <mergeCell ref="U5:U7"/>
    <mergeCell ref="V5:V7"/>
    <mergeCell ref="W5:W7"/>
    <mergeCell ref="X5:X7"/>
    <mergeCell ref="Y5:Y7"/>
    <mergeCell ref="A4:A7"/>
    <mergeCell ref="B4:B7"/>
    <mergeCell ref="C4:C7"/>
    <mergeCell ref="D4:D7"/>
    <mergeCell ref="E4:P4"/>
    <mergeCell ref="N5:N7"/>
    <mergeCell ref="O5:O7"/>
    <mergeCell ref="P5:P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D334-F4C7-416E-AE1D-22572BB41041}">
  <dimension ref="A1:AD43"/>
  <sheetViews>
    <sheetView topLeftCell="A5" zoomScale="66" workbookViewId="0">
      <selection activeCell="AD43" sqref="AD43"/>
    </sheetView>
  </sheetViews>
  <sheetFormatPr defaultRowHeight="14.5" x14ac:dyDescent="0.35"/>
  <cols>
    <col min="1" max="1" width="4" customWidth="1"/>
    <col min="2" max="2" width="25.7265625" bestFit="1" customWidth="1"/>
    <col min="3" max="3" width="11.54296875" customWidth="1"/>
    <col min="4" max="4" width="5" bestFit="1" customWidth="1"/>
    <col min="5" max="15" width="5" customWidth="1"/>
    <col min="16" max="16" width="6" customWidth="1"/>
    <col min="17" max="19" width="5" customWidth="1"/>
    <col min="20" max="20" width="14.36328125" customWidth="1"/>
    <col min="21" max="29" width="5" customWidth="1"/>
    <col min="30" max="30" width="13.26953125" customWidth="1"/>
  </cols>
  <sheetData>
    <row r="1" spans="1:30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0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0" x14ac:dyDescent="0.35">
      <c r="A3" s="2" t="s">
        <v>3</v>
      </c>
      <c r="B3" s="2"/>
      <c r="C3" s="2" t="s">
        <v>403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0" x14ac:dyDescent="0.35">
      <c r="A4" s="15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 t="s">
        <v>10</v>
      </c>
      <c r="R4" s="15"/>
      <c r="S4" s="16"/>
      <c r="T4" s="7"/>
      <c r="U4" s="18" t="s">
        <v>11</v>
      </c>
      <c r="V4" s="15"/>
      <c r="W4" s="15"/>
      <c r="X4" s="15"/>
      <c r="Y4" s="15"/>
      <c r="Z4" s="15"/>
      <c r="AA4" s="15"/>
      <c r="AB4" s="15"/>
      <c r="AC4" s="15"/>
      <c r="AD4" s="15" t="s">
        <v>7</v>
      </c>
    </row>
    <row r="5" spans="1:30" x14ac:dyDescent="0.35">
      <c r="A5" s="15"/>
      <c r="B5" s="15"/>
      <c r="C5" s="15"/>
      <c r="D5" s="15"/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  <c r="M5" s="15" t="s">
        <v>20</v>
      </c>
      <c r="N5" s="15" t="s">
        <v>21</v>
      </c>
      <c r="O5" s="15" t="s">
        <v>22</v>
      </c>
      <c r="P5" s="15" t="s">
        <v>106</v>
      </c>
      <c r="Q5" s="15"/>
      <c r="R5" s="15"/>
      <c r="S5" s="16"/>
      <c r="T5" s="8" t="s">
        <v>548</v>
      </c>
      <c r="U5" s="18" t="s">
        <v>23</v>
      </c>
      <c r="V5" s="15" t="s">
        <v>108</v>
      </c>
      <c r="W5" s="15" t="s">
        <v>24</v>
      </c>
      <c r="X5" s="15" t="s">
        <v>109</v>
      </c>
      <c r="Y5" s="15" t="s">
        <v>404</v>
      </c>
      <c r="Z5" s="15" t="s">
        <v>26</v>
      </c>
      <c r="AA5" s="15" t="s">
        <v>257</v>
      </c>
      <c r="AB5" s="15" t="s">
        <v>27</v>
      </c>
      <c r="AC5" s="15" t="s">
        <v>405</v>
      </c>
      <c r="AD5" s="15"/>
    </row>
    <row r="6" spans="1:30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8"/>
      <c r="U6" s="18"/>
      <c r="V6" s="15"/>
      <c r="W6" s="15"/>
      <c r="X6" s="15"/>
      <c r="Y6" s="15"/>
      <c r="Z6" s="15"/>
      <c r="AA6" s="15"/>
      <c r="AB6" s="15"/>
      <c r="AC6" s="15"/>
      <c r="AD6" s="15"/>
    </row>
    <row r="7" spans="1:30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3" t="s">
        <v>29</v>
      </c>
      <c r="R7" s="3" t="s">
        <v>30</v>
      </c>
      <c r="S7" s="6" t="s">
        <v>31</v>
      </c>
      <c r="T7" s="9"/>
      <c r="U7" s="18"/>
      <c r="V7" s="15"/>
      <c r="W7" s="15"/>
      <c r="X7" s="15"/>
      <c r="Y7" s="15"/>
      <c r="Z7" s="15"/>
      <c r="AA7" s="15"/>
      <c r="AB7" s="15"/>
      <c r="AC7" s="15"/>
      <c r="AD7" s="17"/>
    </row>
    <row r="8" spans="1:30" x14ac:dyDescent="0.35">
      <c r="A8" s="4">
        <v>1</v>
      </c>
      <c r="B8" s="4" t="s">
        <v>406</v>
      </c>
      <c r="C8" s="4" t="s">
        <v>407</v>
      </c>
      <c r="D8" s="4">
        <v>4590</v>
      </c>
      <c r="E8" s="4">
        <v>83</v>
      </c>
      <c r="F8" s="4"/>
      <c r="G8" s="4">
        <v>81</v>
      </c>
      <c r="H8" s="4">
        <v>84</v>
      </c>
      <c r="I8" s="4">
        <v>82</v>
      </c>
      <c r="J8" s="4">
        <v>80</v>
      </c>
      <c r="K8" s="4">
        <v>85</v>
      </c>
      <c r="L8" s="4">
        <v>82</v>
      </c>
      <c r="M8" s="4">
        <v>80</v>
      </c>
      <c r="N8" s="4">
        <v>80</v>
      </c>
      <c r="O8" s="4">
        <v>82</v>
      </c>
      <c r="P8" s="5">
        <f>AVERAGE(E8:O8)</f>
        <v>81.900000000000006</v>
      </c>
      <c r="Q8" s="4">
        <v>0</v>
      </c>
      <c r="R8" s="4">
        <v>0</v>
      </c>
      <c r="S8" s="4">
        <v>0</v>
      </c>
      <c r="T8" s="13" t="s">
        <v>623</v>
      </c>
      <c r="U8" s="4" t="s">
        <v>71</v>
      </c>
      <c r="V8" s="4"/>
      <c r="W8" s="4"/>
      <c r="X8" s="4"/>
      <c r="Y8" s="4"/>
      <c r="Z8" s="4"/>
      <c r="AA8" s="4"/>
      <c r="AB8" s="4"/>
      <c r="AC8" s="11"/>
      <c r="AD8" s="13" t="s">
        <v>624</v>
      </c>
    </row>
    <row r="9" spans="1:30" x14ac:dyDescent="0.35">
      <c r="A9" s="4">
        <v>2</v>
      </c>
      <c r="B9" s="4" t="s">
        <v>408</v>
      </c>
      <c r="C9" s="4" t="s">
        <v>409</v>
      </c>
      <c r="D9" s="4">
        <v>4599</v>
      </c>
      <c r="E9" s="4">
        <v>81</v>
      </c>
      <c r="F9" s="4"/>
      <c r="G9" s="4">
        <v>80</v>
      </c>
      <c r="H9" s="4">
        <v>82</v>
      </c>
      <c r="I9" s="4">
        <v>82</v>
      </c>
      <c r="J9" s="4">
        <v>81</v>
      </c>
      <c r="K9" s="4">
        <v>85</v>
      </c>
      <c r="L9" s="4">
        <v>81</v>
      </c>
      <c r="M9" s="4">
        <v>80</v>
      </c>
      <c r="N9" s="4">
        <v>80</v>
      </c>
      <c r="O9" s="4">
        <v>81</v>
      </c>
      <c r="P9" s="5">
        <f t="shared" ref="P9:P43" si="0">AVERAGE(E9:O9)</f>
        <v>81.3</v>
      </c>
      <c r="Q9" s="4">
        <v>0</v>
      </c>
      <c r="R9" s="4">
        <v>0</v>
      </c>
      <c r="S9" s="4">
        <v>0</v>
      </c>
      <c r="T9" s="13" t="s">
        <v>623</v>
      </c>
      <c r="U9" s="4" t="s">
        <v>71</v>
      </c>
      <c r="V9" s="4"/>
      <c r="W9" s="4"/>
      <c r="X9" s="4"/>
      <c r="Y9" s="4"/>
      <c r="Z9" s="4"/>
      <c r="AA9" s="4"/>
      <c r="AB9" s="4"/>
      <c r="AC9" s="11"/>
      <c r="AD9" s="13" t="s">
        <v>624</v>
      </c>
    </row>
    <row r="10" spans="1:30" x14ac:dyDescent="0.35">
      <c r="A10" s="4">
        <v>3</v>
      </c>
      <c r="B10" s="4" t="s">
        <v>410</v>
      </c>
      <c r="C10" s="4" t="s">
        <v>411</v>
      </c>
      <c r="D10" s="4">
        <v>4611</v>
      </c>
      <c r="E10" s="4">
        <v>83</v>
      </c>
      <c r="F10" s="4"/>
      <c r="G10" s="4">
        <v>83</v>
      </c>
      <c r="H10" s="4">
        <v>86</v>
      </c>
      <c r="I10" s="4">
        <v>85</v>
      </c>
      <c r="J10" s="4">
        <v>86</v>
      </c>
      <c r="K10" s="4">
        <v>86</v>
      </c>
      <c r="L10" s="4">
        <v>84</v>
      </c>
      <c r="M10" s="4">
        <v>83</v>
      </c>
      <c r="N10" s="4">
        <v>85</v>
      </c>
      <c r="O10" s="4">
        <v>87</v>
      </c>
      <c r="P10" s="5">
        <f t="shared" si="0"/>
        <v>84.8</v>
      </c>
      <c r="Q10" s="4">
        <v>0</v>
      </c>
      <c r="R10" s="4">
        <v>0</v>
      </c>
      <c r="S10" s="4">
        <v>0</v>
      </c>
      <c r="T10" s="13" t="s">
        <v>623</v>
      </c>
      <c r="U10" s="4" t="s">
        <v>71</v>
      </c>
      <c r="V10" s="4"/>
      <c r="W10" s="4"/>
      <c r="X10" s="4"/>
      <c r="Y10" s="4"/>
      <c r="Z10" s="4"/>
      <c r="AA10" s="4"/>
      <c r="AB10" s="4"/>
      <c r="AC10" s="11"/>
      <c r="AD10" s="13" t="s">
        <v>624</v>
      </c>
    </row>
    <row r="11" spans="1:30" x14ac:dyDescent="0.35">
      <c r="A11" s="4">
        <v>4</v>
      </c>
      <c r="B11" s="4" t="s">
        <v>412</v>
      </c>
      <c r="C11" s="4" t="s">
        <v>413</v>
      </c>
      <c r="D11" s="4">
        <v>4622</v>
      </c>
      <c r="E11" s="4">
        <v>88</v>
      </c>
      <c r="F11" s="4"/>
      <c r="G11" s="4">
        <v>85</v>
      </c>
      <c r="H11" s="4">
        <v>86</v>
      </c>
      <c r="I11" s="4">
        <v>83</v>
      </c>
      <c r="J11" s="4">
        <v>87</v>
      </c>
      <c r="K11" s="4">
        <v>85</v>
      </c>
      <c r="L11" s="4">
        <v>82</v>
      </c>
      <c r="M11" s="4">
        <v>84</v>
      </c>
      <c r="N11" s="4">
        <v>88</v>
      </c>
      <c r="O11" s="4">
        <v>86</v>
      </c>
      <c r="P11" s="5">
        <f t="shared" si="0"/>
        <v>85.4</v>
      </c>
      <c r="Q11" s="4">
        <v>1</v>
      </c>
      <c r="R11" s="4">
        <v>0</v>
      </c>
      <c r="S11" s="4">
        <v>0</v>
      </c>
      <c r="T11" s="13" t="s">
        <v>623</v>
      </c>
      <c r="U11" s="4" t="s">
        <v>71</v>
      </c>
      <c r="V11" s="4"/>
      <c r="W11" s="4"/>
      <c r="X11" s="4"/>
      <c r="Y11" s="4"/>
      <c r="Z11" s="4"/>
      <c r="AA11" s="4"/>
      <c r="AB11" s="4" t="s">
        <v>60</v>
      </c>
      <c r="AC11" s="11"/>
      <c r="AD11" s="13" t="s">
        <v>630</v>
      </c>
    </row>
    <row r="12" spans="1:30" x14ac:dyDescent="0.35">
      <c r="A12" s="4">
        <v>5</v>
      </c>
      <c r="B12" s="4" t="s">
        <v>414</v>
      </c>
      <c r="C12" s="4" t="s">
        <v>415</v>
      </c>
      <c r="D12" s="4">
        <v>4623</v>
      </c>
      <c r="E12" s="4">
        <v>86</v>
      </c>
      <c r="F12" s="4"/>
      <c r="G12" s="4">
        <v>86</v>
      </c>
      <c r="H12" s="4">
        <v>86</v>
      </c>
      <c r="I12" s="4">
        <v>87</v>
      </c>
      <c r="J12" s="4">
        <v>82</v>
      </c>
      <c r="K12" s="4">
        <v>85</v>
      </c>
      <c r="L12" s="4">
        <v>85</v>
      </c>
      <c r="M12" s="4">
        <v>85</v>
      </c>
      <c r="N12" s="4">
        <v>87</v>
      </c>
      <c r="O12" s="4">
        <v>82</v>
      </c>
      <c r="P12" s="5">
        <f t="shared" si="0"/>
        <v>85.1</v>
      </c>
      <c r="Q12" s="4">
        <v>0</v>
      </c>
      <c r="R12" s="4">
        <v>0</v>
      </c>
      <c r="S12" s="4">
        <v>0</v>
      </c>
      <c r="T12" s="13" t="s">
        <v>623</v>
      </c>
      <c r="U12" s="4" t="s">
        <v>71</v>
      </c>
      <c r="V12" s="4" t="s">
        <v>71</v>
      </c>
      <c r="W12" s="4"/>
      <c r="X12" s="4"/>
      <c r="Y12" s="4"/>
      <c r="Z12" s="4"/>
      <c r="AA12" s="4"/>
      <c r="AB12" s="4"/>
      <c r="AC12" s="11"/>
      <c r="AD12" s="13" t="s">
        <v>624</v>
      </c>
    </row>
    <row r="13" spans="1:30" x14ac:dyDescent="0.35">
      <c r="A13" s="4">
        <v>6</v>
      </c>
      <c r="B13" s="4" t="s">
        <v>416</v>
      </c>
      <c r="C13" s="4" t="s">
        <v>417</v>
      </c>
      <c r="D13" s="4">
        <v>4629</v>
      </c>
      <c r="E13" s="4">
        <v>84</v>
      </c>
      <c r="F13" s="4"/>
      <c r="G13" s="4">
        <v>80</v>
      </c>
      <c r="H13" s="4">
        <v>80</v>
      </c>
      <c r="I13" s="4">
        <v>80</v>
      </c>
      <c r="J13" s="4">
        <v>79</v>
      </c>
      <c r="K13" s="4">
        <v>82</v>
      </c>
      <c r="L13" s="4">
        <v>78</v>
      </c>
      <c r="M13" s="4">
        <v>78</v>
      </c>
      <c r="N13" s="4">
        <v>80</v>
      </c>
      <c r="O13" s="4">
        <v>79</v>
      </c>
      <c r="P13" s="5">
        <f t="shared" si="0"/>
        <v>80</v>
      </c>
      <c r="Q13" s="4">
        <v>0</v>
      </c>
      <c r="R13" s="4">
        <v>0</v>
      </c>
      <c r="S13" s="4">
        <v>4</v>
      </c>
      <c r="T13" s="13" t="s">
        <v>622</v>
      </c>
      <c r="U13" s="4" t="s">
        <v>71</v>
      </c>
      <c r="V13" s="4"/>
      <c r="W13" s="4"/>
      <c r="X13" s="4"/>
      <c r="Y13" s="4"/>
      <c r="Z13" s="4"/>
      <c r="AA13" s="4"/>
      <c r="AB13" s="4"/>
      <c r="AC13" s="11"/>
      <c r="AD13" s="13" t="s">
        <v>624</v>
      </c>
    </row>
    <row r="14" spans="1:30" x14ac:dyDescent="0.35">
      <c r="A14" s="4">
        <v>7</v>
      </c>
      <c r="B14" s="4" t="s">
        <v>418</v>
      </c>
      <c r="C14" s="4" t="s">
        <v>419</v>
      </c>
      <c r="D14" s="4">
        <v>4636</v>
      </c>
      <c r="E14" s="4">
        <v>87</v>
      </c>
      <c r="F14" s="4"/>
      <c r="G14" s="4">
        <v>87</v>
      </c>
      <c r="H14" s="4">
        <v>88</v>
      </c>
      <c r="I14" s="4">
        <v>87</v>
      </c>
      <c r="J14" s="4">
        <v>86</v>
      </c>
      <c r="K14" s="4">
        <v>83</v>
      </c>
      <c r="L14" s="4">
        <v>84</v>
      </c>
      <c r="M14" s="4">
        <v>87</v>
      </c>
      <c r="N14" s="4">
        <v>88</v>
      </c>
      <c r="O14" s="4">
        <v>87</v>
      </c>
      <c r="P14" s="5">
        <f t="shared" si="0"/>
        <v>86.4</v>
      </c>
      <c r="Q14" s="4">
        <v>0</v>
      </c>
      <c r="R14" s="4">
        <v>0</v>
      </c>
      <c r="S14" s="4">
        <v>0</v>
      </c>
      <c r="T14" s="13" t="s">
        <v>623</v>
      </c>
      <c r="U14" s="4" t="s">
        <v>71</v>
      </c>
      <c r="V14" s="4" t="s">
        <v>60</v>
      </c>
      <c r="W14" s="4"/>
      <c r="X14" s="4"/>
      <c r="Y14" s="4" t="s">
        <v>60</v>
      </c>
      <c r="Z14" s="4"/>
      <c r="AA14" s="4"/>
      <c r="AB14" s="4"/>
      <c r="AC14" s="11"/>
      <c r="AD14" s="13" t="s">
        <v>630</v>
      </c>
    </row>
    <row r="15" spans="1:30" x14ac:dyDescent="0.35">
      <c r="A15" s="4">
        <v>8</v>
      </c>
      <c r="B15" s="4" t="s">
        <v>420</v>
      </c>
      <c r="C15" s="4" t="s">
        <v>421</v>
      </c>
      <c r="D15" s="4">
        <v>4650</v>
      </c>
      <c r="E15" s="4">
        <v>81</v>
      </c>
      <c r="F15" s="4"/>
      <c r="G15" s="4">
        <v>84</v>
      </c>
      <c r="H15" s="4">
        <v>84</v>
      </c>
      <c r="I15" s="4">
        <v>83</v>
      </c>
      <c r="J15" s="4">
        <v>81</v>
      </c>
      <c r="K15" s="4">
        <v>83</v>
      </c>
      <c r="L15" s="4">
        <v>81</v>
      </c>
      <c r="M15" s="4">
        <v>83</v>
      </c>
      <c r="N15" s="4">
        <v>83</v>
      </c>
      <c r="O15" s="4">
        <v>82</v>
      </c>
      <c r="P15" s="5">
        <f t="shared" si="0"/>
        <v>82.5</v>
      </c>
      <c r="Q15" s="4">
        <v>1</v>
      </c>
      <c r="R15" s="4">
        <v>0</v>
      </c>
      <c r="S15" s="4">
        <v>0</v>
      </c>
      <c r="T15" s="13" t="s">
        <v>622</v>
      </c>
      <c r="U15" s="4" t="s">
        <v>71</v>
      </c>
      <c r="V15" s="4"/>
      <c r="W15" s="4"/>
      <c r="X15" s="4"/>
      <c r="Y15" s="4"/>
      <c r="Z15" s="4"/>
      <c r="AA15" s="4"/>
      <c r="AB15" s="4"/>
      <c r="AC15" s="11"/>
      <c r="AD15" s="13" t="s">
        <v>624</v>
      </c>
    </row>
    <row r="16" spans="1:30" x14ac:dyDescent="0.35">
      <c r="A16" s="4">
        <v>9</v>
      </c>
      <c r="B16" s="4" t="s">
        <v>422</v>
      </c>
      <c r="C16" s="4" t="s">
        <v>423</v>
      </c>
      <c r="D16" s="4">
        <v>4655</v>
      </c>
      <c r="E16" s="4">
        <v>81</v>
      </c>
      <c r="F16" s="4"/>
      <c r="G16" s="4">
        <v>80</v>
      </c>
      <c r="H16" s="4">
        <v>80</v>
      </c>
      <c r="I16" s="4">
        <v>80</v>
      </c>
      <c r="J16" s="4">
        <v>79</v>
      </c>
      <c r="K16" s="4">
        <v>83</v>
      </c>
      <c r="L16" s="4">
        <v>81</v>
      </c>
      <c r="M16" s="4">
        <v>77</v>
      </c>
      <c r="N16" s="4">
        <v>80</v>
      </c>
      <c r="O16" s="4">
        <v>79</v>
      </c>
      <c r="P16" s="5">
        <f t="shared" si="0"/>
        <v>80</v>
      </c>
      <c r="Q16" s="4">
        <v>1</v>
      </c>
      <c r="R16" s="4">
        <v>0</v>
      </c>
      <c r="S16" s="4">
        <v>0</v>
      </c>
      <c r="T16" s="13" t="s">
        <v>622</v>
      </c>
      <c r="U16" s="4" t="s">
        <v>71</v>
      </c>
      <c r="V16" s="4"/>
      <c r="W16" s="4"/>
      <c r="X16" s="4"/>
      <c r="Y16" s="4"/>
      <c r="Z16" s="4"/>
      <c r="AA16" s="4"/>
      <c r="AB16" s="4"/>
      <c r="AC16" s="11"/>
      <c r="AD16" s="13" t="s">
        <v>624</v>
      </c>
    </row>
    <row r="17" spans="1:30" x14ac:dyDescent="0.35">
      <c r="A17" s="4">
        <v>10</v>
      </c>
      <c r="B17" s="4" t="s">
        <v>424</v>
      </c>
      <c r="C17" s="4" t="s">
        <v>425</v>
      </c>
      <c r="D17" s="4">
        <v>4665</v>
      </c>
      <c r="E17" s="4">
        <v>88</v>
      </c>
      <c r="F17" s="4"/>
      <c r="G17" s="4">
        <v>84</v>
      </c>
      <c r="H17" s="4">
        <v>87</v>
      </c>
      <c r="I17" s="4">
        <v>87</v>
      </c>
      <c r="J17" s="4">
        <v>83</v>
      </c>
      <c r="K17" s="4">
        <v>85</v>
      </c>
      <c r="L17" s="4">
        <v>81</v>
      </c>
      <c r="M17" s="4">
        <v>83</v>
      </c>
      <c r="N17" s="4">
        <v>85</v>
      </c>
      <c r="O17" s="4">
        <v>82</v>
      </c>
      <c r="P17" s="5">
        <f t="shared" si="0"/>
        <v>84.5</v>
      </c>
      <c r="Q17" s="4">
        <v>0</v>
      </c>
      <c r="R17" s="4">
        <v>0</v>
      </c>
      <c r="S17" s="4">
        <v>0</v>
      </c>
      <c r="T17" s="13" t="s">
        <v>623</v>
      </c>
      <c r="U17" s="4" t="s">
        <v>71</v>
      </c>
      <c r="V17" s="4"/>
      <c r="W17" s="4"/>
      <c r="X17" s="4"/>
      <c r="Y17" s="4"/>
      <c r="Z17" s="4"/>
      <c r="AA17" s="4"/>
      <c r="AB17" s="4"/>
      <c r="AC17" s="11"/>
      <c r="AD17" s="13" t="s">
        <v>624</v>
      </c>
    </row>
    <row r="18" spans="1:30" x14ac:dyDescent="0.35">
      <c r="A18" s="4">
        <v>11</v>
      </c>
      <c r="B18" s="4" t="s">
        <v>426</v>
      </c>
      <c r="C18" s="4" t="s">
        <v>427</v>
      </c>
      <c r="D18" s="4">
        <v>4667</v>
      </c>
      <c r="E18" s="4">
        <v>84</v>
      </c>
      <c r="F18" s="4"/>
      <c r="G18" s="4">
        <v>81</v>
      </c>
      <c r="H18" s="4">
        <v>82</v>
      </c>
      <c r="I18" s="4">
        <v>82</v>
      </c>
      <c r="J18" s="4">
        <v>80</v>
      </c>
      <c r="K18" s="4">
        <v>83</v>
      </c>
      <c r="L18" s="4">
        <v>81</v>
      </c>
      <c r="M18" s="4">
        <v>85</v>
      </c>
      <c r="N18" s="4">
        <v>80</v>
      </c>
      <c r="O18" s="4">
        <v>81</v>
      </c>
      <c r="P18" s="5">
        <f t="shared" si="0"/>
        <v>81.900000000000006</v>
      </c>
      <c r="Q18" s="4">
        <v>0</v>
      </c>
      <c r="R18" s="4">
        <v>0</v>
      </c>
      <c r="S18" s="4">
        <v>0</v>
      </c>
      <c r="T18" s="13" t="s">
        <v>623</v>
      </c>
      <c r="U18" s="4" t="s">
        <v>71</v>
      </c>
      <c r="V18" s="4"/>
      <c r="W18" s="4"/>
      <c r="X18" s="4"/>
      <c r="Y18" s="4"/>
      <c r="Z18" s="4"/>
      <c r="AA18" s="4"/>
      <c r="AB18" s="4"/>
      <c r="AC18" s="11"/>
      <c r="AD18" s="13" t="s">
        <v>624</v>
      </c>
    </row>
    <row r="19" spans="1:30" x14ac:dyDescent="0.35">
      <c r="A19" s="4">
        <v>12</v>
      </c>
      <c r="B19" s="4" t="s">
        <v>428</v>
      </c>
      <c r="C19" s="4" t="s">
        <v>429</v>
      </c>
      <c r="D19" s="4">
        <v>4680</v>
      </c>
      <c r="E19" s="4">
        <v>81</v>
      </c>
      <c r="F19" s="4"/>
      <c r="G19" s="4">
        <v>83</v>
      </c>
      <c r="H19" s="4">
        <v>84</v>
      </c>
      <c r="I19" s="4">
        <v>83</v>
      </c>
      <c r="J19" s="4">
        <v>82</v>
      </c>
      <c r="K19" s="4">
        <v>83</v>
      </c>
      <c r="L19" s="4">
        <v>81</v>
      </c>
      <c r="M19" s="4">
        <v>82</v>
      </c>
      <c r="N19" s="4">
        <v>83</v>
      </c>
      <c r="O19" s="4">
        <v>80</v>
      </c>
      <c r="P19" s="5">
        <f t="shared" si="0"/>
        <v>82.2</v>
      </c>
      <c r="Q19" s="4">
        <v>0</v>
      </c>
      <c r="R19" s="4">
        <v>0</v>
      </c>
      <c r="S19" s="4">
        <v>0</v>
      </c>
      <c r="T19" s="13" t="s">
        <v>623</v>
      </c>
      <c r="U19" s="4" t="s">
        <v>71</v>
      </c>
      <c r="V19" s="4"/>
      <c r="W19" s="4"/>
      <c r="X19" s="4"/>
      <c r="Y19" s="4"/>
      <c r="Z19" s="4"/>
      <c r="AA19" s="4"/>
      <c r="AB19" s="4"/>
      <c r="AC19" s="11"/>
      <c r="AD19" s="13" t="s">
        <v>624</v>
      </c>
    </row>
    <row r="20" spans="1:30" x14ac:dyDescent="0.35">
      <c r="A20" s="4">
        <v>13</v>
      </c>
      <c r="B20" s="4" t="s">
        <v>430</v>
      </c>
      <c r="C20" s="4" t="s">
        <v>431</v>
      </c>
      <c r="D20" s="4">
        <v>4692</v>
      </c>
      <c r="E20" s="4">
        <v>87</v>
      </c>
      <c r="F20" s="4"/>
      <c r="G20" s="4">
        <v>80</v>
      </c>
      <c r="H20" s="4">
        <v>82</v>
      </c>
      <c r="I20" s="4">
        <v>83</v>
      </c>
      <c r="J20" s="4">
        <v>81</v>
      </c>
      <c r="K20" s="4">
        <v>85</v>
      </c>
      <c r="L20" s="4">
        <v>81</v>
      </c>
      <c r="M20" s="4">
        <v>82</v>
      </c>
      <c r="N20" s="4">
        <v>80</v>
      </c>
      <c r="O20" s="4">
        <v>81</v>
      </c>
      <c r="P20" s="5">
        <f t="shared" si="0"/>
        <v>82.2</v>
      </c>
      <c r="Q20" s="4">
        <v>0</v>
      </c>
      <c r="R20" s="4">
        <v>0</v>
      </c>
      <c r="S20" s="4">
        <v>0</v>
      </c>
      <c r="T20" s="13" t="s">
        <v>623</v>
      </c>
      <c r="U20" s="4" t="s">
        <v>71</v>
      </c>
      <c r="V20" s="4"/>
      <c r="W20" s="4"/>
      <c r="X20" s="4"/>
      <c r="Y20" s="4"/>
      <c r="Z20" s="4"/>
      <c r="AA20" s="4"/>
      <c r="AB20" s="4"/>
      <c r="AC20" s="11"/>
      <c r="AD20" s="13" t="s">
        <v>624</v>
      </c>
    </row>
    <row r="21" spans="1:30" x14ac:dyDescent="0.35">
      <c r="A21" s="4">
        <v>14</v>
      </c>
      <c r="B21" s="4" t="s">
        <v>432</v>
      </c>
      <c r="C21" s="4" t="s">
        <v>433</v>
      </c>
      <c r="D21" s="4">
        <v>4693</v>
      </c>
      <c r="E21" s="4">
        <v>81</v>
      </c>
      <c r="F21" s="4"/>
      <c r="G21" s="4">
        <v>83</v>
      </c>
      <c r="H21" s="4">
        <v>84</v>
      </c>
      <c r="I21" s="4">
        <v>83</v>
      </c>
      <c r="J21" s="4">
        <v>82</v>
      </c>
      <c r="K21" s="4">
        <v>83</v>
      </c>
      <c r="L21" s="4">
        <v>81</v>
      </c>
      <c r="M21" s="4">
        <v>83</v>
      </c>
      <c r="N21" s="4">
        <v>85</v>
      </c>
      <c r="O21" s="4">
        <v>82</v>
      </c>
      <c r="P21" s="5">
        <f t="shared" si="0"/>
        <v>82.7</v>
      </c>
      <c r="Q21" s="4">
        <v>0</v>
      </c>
      <c r="R21" s="4">
        <v>0</v>
      </c>
      <c r="S21" s="4">
        <v>1</v>
      </c>
      <c r="T21" s="13" t="s">
        <v>622</v>
      </c>
      <c r="U21" s="4" t="s">
        <v>71</v>
      </c>
      <c r="V21" s="4"/>
      <c r="W21" s="4"/>
      <c r="X21" s="4"/>
      <c r="Y21" s="4"/>
      <c r="Z21" s="4"/>
      <c r="AA21" s="4"/>
      <c r="AB21" s="4"/>
      <c r="AC21" s="11"/>
      <c r="AD21" s="13" t="s">
        <v>624</v>
      </c>
    </row>
    <row r="22" spans="1:30" x14ac:dyDescent="0.35">
      <c r="A22" s="4">
        <v>15</v>
      </c>
      <c r="B22" s="4" t="s">
        <v>434</v>
      </c>
      <c r="C22" s="4" t="s">
        <v>435</v>
      </c>
      <c r="D22" s="4">
        <v>4704</v>
      </c>
      <c r="E22" s="4">
        <v>82</v>
      </c>
      <c r="F22" s="4"/>
      <c r="G22" s="4">
        <v>79</v>
      </c>
      <c r="H22" s="4">
        <v>81</v>
      </c>
      <c r="I22" s="4">
        <v>80</v>
      </c>
      <c r="J22" s="4">
        <v>80</v>
      </c>
      <c r="K22" s="4">
        <v>84</v>
      </c>
      <c r="L22" s="4">
        <v>81</v>
      </c>
      <c r="M22" s="4">
        <v>80</v>
      </c>
      <c r="N22" s="4">
        <v>79</v>
      </c>
      <c r="O22" s="4">
        <v>82</v>
      </c>
      <c r="P22" s="5">
        <f t="shared" si="0"/>
        <v>80.8</v>
      </c>
      <c r="Q22" s="4">
        <v>0</v>
      </c>
      <c r="R22" s="4">
        <v>0</v>
      </c>
      <c r="S22" s="4">
        <v>1</v>
      </c>
      <c r="T22" s="13" t="s">
        <v>622</v>
      </c>
      <c r="U22" s="4" t="s">
        <v>71</v>
      </c>
      <c r="V22" s="4"/>
      <c r="W22" s="4"/>
      <c r="X22" s="4"/>
      <c r="Y22" s="4"/>
      <c r="Z22" s="4"/>
      <c r="AA22" s="4"/>
      <c r="AB22" s="4"/>
      <c r="AC22" s="11"/>
      <c r="AD22" s="13" t="s">
        <v>624</v>
      </c>
    </row>
    <row r="23" spans="1:30" x14ac:dyDescent="0.35">
      <c r="A23" s="4">
        <v>16</v>
      </c>
      <c r="B23" s="4" t="s">
        <v>436</v>
      </c>
      <c r="C23" s="4" t="s">
        <v>437</v>
      </c>
      <c r="D23" s="4">
        <v>4713</v>
      </c>
      <c r="E23" s="4"/>
      <c r="F23" s="4">
        <v>86</v>
      </c>
      <c r="G23" s="4">
        <v>83</v>
      </c>
      <c r="H23" s="4">
        <v>85</v>
      </c>
      <c r="I23" s="4">
        <v>83</v>
      </c>
      <c r="J23" s="4">
        <v>81</v>
      </c>
      <c r="K23" s="4">
        <v>85</v>
      </c>
      <c r="L23" s="4">
        <v>83</v>
      </c>
      <c r="M23" s="4">
        <v>80</v>
      </c>
      <c r="N23" s="4">
        <v>83</v>
      </c>
      <c r="O23" s="4">
        <v>82</v>
      </c>
      <c r="P23" s="5">
        <f t="shared" si="0"/>
        <v>83.1</v>
      </c>
      <c r="Q23" s="4">
        <v>1</v>
      </c>
      <c r="R23" s="4">
        <v>0</v>
      </c>
      <c r="S23" s="4">
        <v>0</v>
      </c>
      <c r="T23" s="13" t="s">
        <v>622</v>
      </c>
      <c r="U23" s="4" t="s">
        <v>60</v>
      </c>
      <c r="V23" s="4"/>
      <c r="W23" s="4"/>
      <c r="X23" s="4"/>
      <c r="Y23" s="4"/>
      <c r="Z23" s="4"/>
      <c r="AA23" s="4"/>
      <c r="AB23" s="4"/>
      <c r="AC23" s="11"/>
      <c r="AD23" s="13" t="s">
        <v>624</v>
      </c>
    </row>
    <row r="24" spans="1:30" x14ac:dyDescent="0.35">
      <c r="A24" s="4">
        <v>17</v>
      </c>
      <c r="B24" s="4" t="s">
        <v>438</v>
      </c>
      <c r="C24" s="4" t="s">
        <v>439</v>
      </c>
      <c r="D24" s="4">
        <v>4715</v>
      </c>
      <c r="E24" s="4">
        <v>88</v>
      </c>
      <c r="F24" s="4"/>
      <c r="G24" s="4">
        <v>87</v>
      </c>
      <c r="H24" s="4">
        <v>88</v>
      </c>
      <c r="I24" s="4">
        <v>88</v>
      </c>
      <c r="J24" s="4">
        <v>86</v>
      </c>
      <c r="K24" s="4">
        <v>85</v>
      </c>
      <c r="L24" s="4">
        <v>85</v>
      </c>
      <c r="M24" s="4">
        <v>87</v>
      </c>
      <c r="N24" s="4">
        <v>87</v>
      </c>
      <c r="O24" s="4">
        <v>87</v>
      </c>
      <c r="P24" s="5">
        <f t="shared" si="0"/>
        <v>86.8</v>
      </c>
      <c r="Q24" s="4">
        <v>1</v>
      </c>
      <c r="R24" s="4">
        <v>0</v>
      </c>
      <c r="S24" s="4">
        <v>0</v>
      </c>
      <c r="T24" s="13" t="s">
        <v>623</v>
      </c>
      <c r="U24" s="4" t="s">
        <v>71</v>
      </c>
      <c r="V24" s="4" t="s">
        <v>60</v>
      </c>
      <c r="W24" s="4" t="s">
        <v>71</v>
      </c>
      <c r="X24" s="4" t="s">
        <v>60</v>
      </c>
      <c r="Y24" s="4"/>
      <c r="Z24" s="4"/>
      <c r="AA24" s="4" t="s">
        <v>71</v>
      </c>
      <c r="AB24" s="4"/>
      <c r="AC24" s="11" t="s">
        <v>71</v>
      </c>
      <c r="AD24" s="13" t="s">
        <v>627</v>
      </c>
    </row>
    <row r="25" spans="1:30" x14ac:dyDescent="0.35">
      <c r="A25" s="4">
        <v>18</v>
      </c>
      <c r="B25" s="4" t="s">
        <v>440</v>
      </c>
      <c r="C25" s="4" t="s">
        <v>441</v>
      </c>
      <c r="D25" s="4">
        <v>4722</v>
      </c>
      <c r="E25" s="4">
        <v>81</v>
      </c>
      <c r="F25" s="4"/>
      <c r="G25" s="4">
        <v>82</v>
      </c>
      <c r="H25" s="4">
        <v>84</v>
      </c>
      <c r="I25" s="4">
        <v>84</v>
      </c>
      <c r="J25" s="4">
        <v>81</v>
      </c>
      <c r="K25" s="4">
        <v>83</v>
      </c>
      <c r="L25" s="4">
        <v>83</v>
      </c>
      <c r="M25" s="4">
        <v>86</v>
      </c>
      <c r="N25" s="4">
        <v>83</v>
      </c>
      <c r="O25" s="4">
        <v>80</v>
      </c>
      <c r="P25" s="5">
        <f t="shared" si="0"/>
        <v>82.7</v>
      </c>
      <c r="Q25" s="4">
        <v>1</v>
      </c>
      <c r="R25" s="4">
        <v>0</v>
      </c>
      <c r="S25" s="4">
        <v>0</v>
      </c>
      <c r="T25" s="13" t="s">
        <v>622</v>
      </c>
      <c r="U25" s="4" t="s">
        <v>71</v>
      </c>
      <c r="V25" s="4"/>
      <c r="W25" s="4"/>
      <c r="X25" s="4"/>
      <c r="Y25" s="4"/>
      <c r="Z25" s="4"/>
      <c r="AA25" s="4"/>
      <c r="AB25" s="4"/>
      <c r="AC25" s="11"/>
      <c r="AD25" s="13" t="s">
        <v>624</v>
      </c>
    </row>
    <row r="26" spans="1:30" x14ac:dyDescent="0.35">
      <c r="A26" s="4">
        <v>19</v>
      </c>
      <c r="B26" s="4" t="s">
        <v>442</v>
      </c>
      <c r="C26" s="4" t="s">
        <v>443</v>
      </c>
      <c r="D26" s="4">
        <v>4734</v>
      </c>
      <c r="E26" s="4">
        <v>83</v>
      </c>
      <c r="F26" s="4"/>
      <c r="G26" s="4">
        <v>81</v>
      </c>
      <c r="H26" s="4">
        <v>82</v>
      </c>
      <c r="I26" s="4">
        <v>82</v>
      </c>
      <c r="J26" s="4">
        <v>80</v>
      </c>
      <c r="K26" s="4">
        <v>84</v>
      </c>
      <c r="L26" s="4">
        <v>81</v>
      </c>
      <c r="M26" s="4">
        <v>80</v>
      </c>
      <c r="N26" s="4">
        <v>85</v>
      </c>
      <c r="O26" s="4">
        <v>85</v>
      </c>
      <c r="P26" s="5">
        <f t="shared" si="0"/>
        <v>82.3</v>
      </c>
      <c r="Q26" s="4">
        <v>1</v>
      </c>
      <c r="R26" s="4">
        <v>0</v>
      </c>
      <c r="S26" s="4">
        <v>0</v>
      </c>
      <c r="T26" s="13" t="s">
        <v>622</v>
      </c>
      <c r="U26" s="4" t="s">
        <v>71</v>
      </c>
      <c r="V26" s="4"/>
      <c r="W26" s="4"/>
      <c r="X26" s="4"/>
      <c r="Y26" s="4"/>
      <c r="Z26" s="4" t="s">
        <v>71</v>
      </c>
      <c r="AA26" s="4"/>
      <c r="AB26" s="4"/>
      <c r="AC26" s="11"/>
      <c r="AD26" s="13" t="s">
        <v>626</v>
      </c>
    </row>
    <row r="27" spans="1:30" x14ac:dyDescent="0.35">
      <c r="A27" s="4">
        <v>20</v>
      </c>
      <c r="B27" s="4" t="s">
        <v>444</v>
      </c>
      <c r="C27" s="4" t="s">
        <v>445</v>
      </c>
      <c r="D27" s="4">
        <v>4747</v>
      </c>
      <c r="E27" s="4">
        <v>86</v>
      </c>
      <c r="F27" s="4"/>
      <c r="G27" s="4">
        <v>84</v>
      </c>
      <c r="H27" s="4">
        <v>84</v>
      </c>
      <c r="I27" s="4">
        <v>84</v>
      </c>
      <c r="J27" s="4">
        <v>80</v>
      </c>
      <c r="K27" s="4">
        <v>85</v>
      </c>
      <c r="L27" s="4">
        <v>81</v>
      </c>
      <c r="M27" s="4">
        <v>84</v>
      </c>
      <c r="N27" s="4">
        <v>85</v>
      </c>
      <c r="O27" s="4">
        <v>83</v>
      </c>
      <c r="P27" s="5">
        <f t="shared" si="0"/>
        <v>83.6</v>
      </c>
      <c r="Q27" s="4">
        <v>1</v>
      </c>
      <c r="R27" s="4">
        <v>0</v>
      </c>
      <c r="S27" s="4">
        <v>0</v>
      </c>
      <c r="T27" s="13" t="s">
        <v>622</v>
      </c>
      <c r="U27" s="4" t="s">
        <v>71</v>
      </c>
      <c r="V27" s="4"/>
      <c r="W27" s="4"/>
      <c r="X27" s="4"/>
      <c r="Y27" s="4"/>
      <c r="Z27" s="4"/>
      <c r="AA27" s="4"/>
      <c r="AB27" s="4"/>
      <c r="AC27" s="11"/>
      <c r="AD27" s="13" t="s">
        <v>624</v>
      </c>
    </row>
    <row r="28" spans="1:30" x14ac:dyDescent="0.35">
      <c r="A28" s="4">
        <v>21</v>
      </c>
      <c r="B28" s="4" t="s">
        <v>446</v>
      </c>
      <c r="C28" s="4" t="s">
        <v>447</v>
      </c>
      <c r="D28" s="4">
        <v>4748</v>
      </c>
      <c r="E28" s="4">
        <v>82</v>
      </c>
      <c r="F28" s="4"/>
      <c r="G28" s="4">
        <v>86</v>
      </c>
      <c r="H28" s="4">
        <v>86</v>
      </c>
      <c r="I28" s="4">
        <v>85</v>
      </c>
      <c r="J28" s="4">
        <v>86</v>
      </c>
      <c r="K28" s="4">
        <v>85</v>
      </c>
      <c r="L28" s="4">
        <v>83</v>
      </c>
      <c r="M28" s="4">
        <v>84</v>
      </c>
      <c r="N28" s="4">
        <v>83</v>
      </c>
      <c r="O28" s="4">
        <v>82</v>
      </c>
      <c r="P28" s="5">
        <f>AVERAGE(E28:O28)</f>
        <v>84.2</v>
      </c>
      <c r="Q28" s="4">
        <v>1</v>
      </c>
      <c r="R28" s="4">
        <v>0</v>
      </c>
      <c r="S28" s="4">
        <v>0</v>
      </c>
      <c r="T28" s="13" t="s">
        <v>622</v>
      </c>
      <c r="U28" s="4" t="s">
        <v>71</v>
      </c>
      <c r="V28" s="4" t="s">
        <v>60</v>
      </c>
      <c r="W28" s="4"/>
      <c r="X28" s="4"/>
      <c r="Y28" s="4"/>
      <c r="Z28" s="4"/>
      <c r="AA28" s="4"/>
      <c r="AB28" s="4"/>
      <c r="AC28" s="11"/>
      <c r="AD28" s="13" t="s">
        <v>624</v>
      </c>
    </row>
    <row r="29" spans="1:30" x14ac:dyDescent="0.35">
      <c r="A29" s="4">
        <v>22</v>
      </c>
      <c r="B29" s="4" t="s">
        <v>448</v>
      </c>
      <c r="C29" s="4" t="s">
        <v>449</v>
      </c>
      <c r="D29" s="4">
        <v>4754</v>
      </c>
      <c r="E29" s="4">
        <v>86</v>
      </c>
      <c r="F29" s="4"/>
      <c r="G29" s="4">
        <v>81</v>
      </c>
      <c r="H29" s="4">
        <v>83</v>
      </c>
      <c r="I29" s="4">
        <v>83</v>
      </c>
      <c r="J29" s="4">
        <v>79</v>
      </c>
      <c r="K29" s="4">
        <v>85</v>
      </c>
      <c r="L29" s="4">
        <v>81</v>
      </c>
      <c r="M29" s="4">
        <v>82</v>
      </c>
      <c r="N29" s="4">
        <v>83</v>
      </c>
      <c r="O29" s="4">
        <v>82</v>
      </c>
      <c r="P29" s="5">
        <f t="shared" si="0"/>
        <v>82.5</v>
      </c>
      <c r="Q29" s="4">
        <v>1</v>
      </c>
      <c r="R29" s="4">
        <v>0</v>
      </c>
      <c r="S29" s="4">
        <v>0</v>
      </c>
      <c r="T29" s="13" t="s">
        <v>622</v>
      </c>
      <c r="U29" s="4" t="s">
        <v>71</v>
      </c>
      <c r="V29" s="4"/>
      <c r="W29" s="4"/>
      <c r="X29" s="4"/>
      <c r="Y29" s="4"/>
      <c r="Z29" s="4" t="s">
        <v>71</v>
      </c>
      <c r="AA29" s="4"/>
      <c r="AB29" s="4"/>
      <c r="AC29" s="11"/>
      <c r="AD29" s="13" t="s">
        <v>626</v>
      </c>
    </row>
    <row r="30" spans="1:30" x14ac:dyDescent="0.35">
      <c r="A30" s="4">
        <v>23</v>
      </c>
      <c r="B30" s="4" t="s">
        <v>450</v>
      </c>
      <c r="C30" s="4" t="s">
        <v>451</v>
      </c>
      <c r="D30" s="4">
        <v>4762</v>
      </c>
      <c r="E30" s="4">
        <v>78</v>
      </c>
      <c r="F30" s="4"/>
      <c r="G30" s="4">
        <v>77</v>
      </c>
      <c r="H30" s="4">
        <v>80</v>
      </c>
      <c r="I30" s="4">
        <v>78</v>
      </c>
      <c r="J30" s="4">
        <v>78</v>
      </c>
      <c r="K30" s="4">
        <v>83</v>
      </c>
      <c r="L30" s="4">
        <v>80</v>
      </c>
      <c r="M30" s="4">
        <v>80</v>
      </c>
      <c r="N30" s="4">
        <v>78</v>
      </c>
      <c r="O30" s="4">
        <v>80</v>
      </c>
      <c r="P30" s="5">
        <f t="shared" si="0"/>
        <v>79.2</v>
      </c>
      <c r="Q30" s="4">
        <v>0</v>
      </c>
      <c r="R30" s="4">
        <v>0</v>
      </c>
      <c r="S30" s="4">
        <v>2</v>
      </c>
      <c r="T30" s="13" t="s">
        <v>622</v>
      </c>
      <c r="U30" s="4" t="s">
        <v>71</v>
      </c>
      <c r="V30" s="4"/>
      <c r="W30" s="4"/>
      <c r="X30" s="4"/>
      <c r="Y30" s="4"/>
      <c r="Z30" s="4"/>
      <c r="AA30" s="4"/>
      <c r="AB30" s="4"/>
      <c r="AC30" s="11"/>
      <c r="AD30" s="13" t="s">
        <v>624</v>
      </c>
    </row>
    <row r="31" spans="1:30" x14ac:dyDescent="0.35">
      <c r="A31" s="4">
        <v>24</v>
      </c>
      <c r="B31" s="4" t="s">
        <v>452</v>
      </c>
      <c r="C31" s="4" t="s">
        <v>453</v>
      </c>
      <c r="D31" s="4">
        <v>4770</v>
      </c>
      <c r="E31" s="4">
        <v>81</v>
      </c>
      <c r="F31" s="4"/>
      <c r="G31" s="4">
        <v>84</v>
      </c>
      <c r="H31" s="4">
        <v>85</v>
      </c>
      <c r="I31" s="4">
        <v>82</v>
      </c>
      <c r="J31" s="4">
        <v>82</v>
      </c>
      <c r="K31" s="4">
        <v>83</v>
      </c>
      <c r="L31" s="4">
        <v>81</v>
      </c>
      <c r="M31" s="4">
        <v>85</v>
      </c>
      <c r="N31" s="4">
        <v>85</v>
      </c>
      <c r="O31" s="4">
        <v>82</v>
      </c>
      <c r="P31" s="5">
        <f t="shared" si="0"/>
        <v>83</v>
      </c>
      <c r="Q31" s="4">
        <v>1</v>
      </c>
      <c r="R31" s="4">
        <v>0</v>
      </c>
      <c r="S31" s="4">
        <v>0</v>
      </c>
      <c r="T31" s="13" t="s">
        <v>622</v>
      </c>
      <c r="U31" s="4" t="s">
        <v>71</v>
      </c>
      <c r="V31" s="4"/>
      <c r="W31" s="4"/>
      <c r="X31" s="4"/>
      <c r="Y31" s="4"/>
      <c r="Z31" s="4"/>
      <c r="AA31" s="4"/>
      <c r="AB31" s="4"/>
      <c r="AC31" s="11"/>
      <c r="AD31" s="13" t="s">
        <v>624</v>
      </c>
    </row>
    <row r="32" spans="1:30" x14ac:dyDescent="0.35">
      <c r="A32" s="4">
        <v>25</v>
      </c>
      <c r="B32" s="4" t="s">
        <v>454</v>
      </c>
      <c r="C32" s="4" t="s">
        <v>455</v>
      </c>
      <c r="D32" s="4">
        <v>4779</v>
      </c>
      <c r="E32" s="4">
        <v>82</v>
      </c>
      <c r="F32" s="4"/>
      <c r="G32" s="4">
        <v>82</v>
      </c>
      <c r="H32" s="4">
        <v>80</v>
      </c>
      <c r="I32" s="4">
        <v>78</v>
      </c>
      <c r="J32" s="4">
        <v>80</v>
      </c>
      <c r="K32" s="4">
        <v>84</v>
      </c>
      <c r="L32" s="4">
        <v>81</v>
      </c>
      <c r="M32" s="4">
        <v>82</v>
      </c>
      <c r="N32" s="4">
        <v>80</v>
      </c>
      <c r="O32" s="4">
        <v>81</v>
      </c>
      <c r="P32" s="5">
        <f t="shared" si="0"/>
        <v>81</v>
      </c>
      <c r="Q32" s="4">
        <v>0</v>
      </c>
      <c r="R32" s="4">
        <v>0</v>
      </c>
      <c r="S32" s="4">
        <v>7</v>
      </c>
      <c r="T32" s="13" t="s">
        <v>622</v>
      </c>
      <c r="U32" s="4" t="s">
        <v>71</v>
      </c>
      <c r="V32" s="4"/>
      <c r="W32" s="4"/>
      <c r="X32" s="4"/>
      <c r="Y32" s="4"/>
      <c r="Z32" s="4"/>
      <c r="AA32" s="4"/>
      <c r="AB32" s="4"/>
      <c r="AC32" s="11"/>
      <c r="AD32" s="13" t="s">
        <v>624</v>
      </c>
    </row>
    <row r="33" spans="1:30" x14ac:dyDescent="0.35">
      <c r="A33" s="4">
        <v>26</v>
      </c>
      <c r="B33" s="4" t="s">
        <v>456</v>
      </c>
      <c r="C33" s="4" t="s">
        <v>457</v>
      </c>
      <c r="D33" s="4">
        <v>4791</v>
      </c>
      <c r="E33" s="4">
        <v>83</v>
      </c>
      <c r="F33" s="4"/>
      <c r="G33" s="4">
        <v>83</v>
      </c>
      <c r="H33" s="4">
        <v>84</v>
      </c>
      <c r="I33" s="4">
        <v>85</v>
      </c>
      <c r="J33" s="4">
        <v>81</v>
      </c>
      <c r="K33" s="4">
        <v>82</v>
      </c>
      <c r="L33" s="4">
        <v>81</v>
      </c>
      <c r="M33" s="4">
        <v>83</v>
      </c>
      <c r="N33" s="4">
        <v>82</v>
      </c>
      <c r="O33" s="4">
        <v>82</v>
      </c>
      <c r="P33" s="5">
        <f t="shared" si="0"/>
        <v>82.6</v>
      </c>
      <c r="Q33" s="4">
        <v>1</v>
      </c>
      <c r="R33" s="4">
        <v>0</v>
      </c>
      <c r="S33" s="4">
        <v>0</v>
      </c>
      <c r="T33" s="13" t="s">
        <v>622</v>
      </c>
      <c r="U33" s="4" t="s">
        <v>71</v>
      </c>
      <c r="V33" s="4"/>
      <c r="W33" s="4"/>
      <c r="X33" s="4"/>
      <c r="Y33" s="4"/>
      <c r="Z33" s="4"/>
      <c r="AA33" s="4"/>
      <c r="AB33" s="4"/>
      <c r="AC33" s="11"/>
      <c r="AD33" s="13" t="s">
        <v>624</v>
      </c>
    </row>
    <row r="34" spans="1:30" x14ac:dyDescent="0.35">
      <c r="A34" s="4">
        <v>27</v>
      </c>
      <c r="B34" s="4" t="s">
        <v>458</v>
      </c>
      <c r="C34" s="4" t="s">
        <v>459</v>
      </c>
      <c r="D34" s="4">
        <v>4796</v>
      </c>
      <c r="E34" s="4">
        <v>81</v>
      </c>
      <c r="F34" s="4"/>
      <c r="G34" s="4">
        <v>82</v>
      </c>
      <c r="H34" s="4">
        <v>84</v>
      </c>
      <c r="I34" s="4">
        <v>81</v>
      </c>
      <c r="J34" s="4">
        <v>80</v>
      </c>
      <c r="K34" s="4">
        <v>83</v>
      </c>
      <c r="L34" s="4">
        <v>81</v>
      </c>
      <c r="M34" s="4">
        <v>79</v>
      </c>
      <c r="N34" s="4">
        <v>80</v>
      </c>
      <c r="O34" s="4">
        <v>82</v>
      </c>
      <c r="P34" s="5">
        <f t="shared" si="0"/>
        <v>81.3</v>
      </c>
      <c r="Q34" s="4">
        <v>0</v>
      </c>
      <c r="R34" s="4">
        <v>0</v>
      </c>
      <c r="S34" s="4">
        <v>0</v>
      </c>
      <c r="T34" s="13" t="s">
        <v>623</v>
      </c>
      <c r="U34" s="4" t="s">
        <v>71</v>
      </c>
      <c r="V34" s="4"/>
      <c r="W34" s="4"/>
      <c r="X34" s="4"/>
      <c r="Y34" s="4"/>
      <c r="Z34" s="4"/>
      <c r="AA34" s="4"/>
      <c r="AB34" s="4"/>
      <c r="AC34" s="11"/>
      <c r="AD34" s="13" t="s">
        <v>624</v>
      </c>
    </row>
    <row r="35" spans="1:30" x14ac:dyDescent="0.35">
      <c r="A35" s="4">
        <v>28</v>
      </c>
      <c r="B35" s="4" t="s">
        <v>460</v>
      </c>
      <c r="C35" s="4" t="s">
        <v>461</v>
      </c>
      <c r="D35" s="4">
        <v>4808</v>
      </c>
      <c r="E35" s="4">
        <v>84</v>
      </c>
      <c r="F35" s="4"/>
      <c r="G35" s="4">
        <v>84</v>
      </c>
      <c r="H35" s="4">
        <v>85</v>
      </c>
      <c r="I35" s="4">
        <v>84</v>
      </c>
      <c r="J35" s="4">
        <v>81</v>
      </c>
      <c r="K35" s="4">
        <v>83</v>
      </c>
      <c r="L35" s="4">
        <v>83</v>
      </c>
      <c r="M35" s="4">
        <v>82</v>
      </c>
      <c r="N35" s="4">
        <v>83</v>
      </c>
      <c r="O35" s="4">
        <v>82</v>
      </c>
      <c r="P35" s="5">
        <f t="shared" si="0"/>
        <v>83.1</v>
      </c>
      <c r="Q35" s="4">
        <v>0</v>
      </c>
      <c r="R35" s="4">
        <v>0</v>
      </c>
      <c r="S35" s="4">
        <v>1</v>
      </c>
      <c r="T35" s="13" t="s">
        <v>622</v>
      </c>
      <c r="U35" s="4" t="s">
        <v>60</v>
      </c>
      <c r="V35" s="4"/>
      <c r="W35" s="4"/>
      <c r="X35" s="4"/>
      <c r="Y35" s="4"/>
      <c r="Z35" s="4"/>
      <c r="AA35" s="4"/>
      <c r="AB35" s="4"/>
      <c r="AC35" s="11"/>
      <c r="AD35" s="13" t="s">
        <v>624</v>
      </c>
    </row>
    <row r="36" spans="1:30" x14ac:dyDescent="0.35">
      <c r="A36" s="4">
        <v>29</v>
      </c>
      <c r="B36" s="4" t="s">
        <v>462</v>
      </c>
      <c r="C36" s="4" t="s">
        <v>463</v>
      </c>
      <c r="D36" s="4">
        <v>4813</v>
      </c>
      <c r="E36" s="4">
        <v>83</v>
      </c>
      <c r="F36" s="4"/>
      <c r="G36" s="4">
        <v>84</v>
      </c>
      <c r="H36" s="4">
        <v>84</v>
      </c>
      <c r="I36" s="4">
        <v>84</v>
      </c>
      <c r="J36" s="4">
        <v>82</v>
      </c>
      <c r="K36" s="4">
        <v>83</v>
      </c>
      <c r="L36" s="4">
        <v>80</v>
      </c>
      <c r="M36" s="4">
        <v>84</v>
      </c>
      <c r="N36" s="4">
        <v>85</v>
      </c>
      <c r="O36" s="4">
        <v>85</v>
      </c>
      <c r="P36" s="5">
        <f t="shared" si="0"/>
        <v>83.4</v>
      </c>
      <c r="Q36" s="4">
        <v>0</v>
      </c>
      <c r="R36" s="4">
        <v>0</v>
      </c>
      <c r="S36" s="4">
        <v>0</v>
      </c>
      <c r="T36" s="13" t="s">
        <v>623</v>
      </c>
      <c r="U36" s="4" t="s">
        <v>71</v>
      </c>
      <c r="V36" s="4"/>
      <c r="W36" s="4"/>
      <c r="X36" s="4"/>
      <c r="Y36" s="4"/>
      <c r="Z36" s="4"/>
      <c r="AA36" s="4"/>
      <c r="AB36" s="4"/>
      <c r="AC36" s="11"/>
      <c r="AD36" s="13" t="s">
        <v>624</v>
      </c>
    </row>
    <row r="37" spans="1:30" x14ac:dyDescent="0.35">
      <c r="A37" s="4">
        <v>30</v>
      </c>
      <c r="B37" s="4" t="s">
        <v>464</v>
      </c>
      <c r="C37" s="4" t="s">
        <v>465</v>
      </c>
      <c r="D37" s="4">
        <v>4826</v>
      </c>
      <c r="E37" s="4">
        <v>83</v>
      </c>
      <c r="F37" s="4"/>
      <c r="G37" s="4">
        <v>83</v>
      </c>
      <c r="H37" s="4">
        <v>84</v>
      </c>
      <c r="I37" s="4">
        <v>85</v>
      </c>
      <c r="J37" s="4">
        <v>81</v>
      </c>
      <c r="K37" s="4">
        <v>84</v>
      </c>
      <c r="L37" s="4">
        <v>81</v>
      </c>
      <c r="M37" s="4">
        <v>83</v>
      </c>
      <c r="N37" s="4">
        <v>82</v>
      </c>
      <c r="O37" s="4">
        <v>83</v>
      </c>
      <c r="P37" s="5">
        <f t="shared" si="0"/>
        <v>82.9</v>
      </c>
      <c r="Q37" s="4">
        <v>0</v>
      </c>
      <c r="R37" s="4">
        <v>0</v>
      </c>
      <c r="S37" s="4">
        <v>0</v>
      </c>
      <c r="T37" s="13" t="s">
        <v>623</v>
      </c>
      <c r="U37" s="4" t="s">
        <v>71</v>
      </c>
      <c r="V37" s="4"/>
      <c r="W37" s="4"/>
      <c r="X37" s="4"/>
      <c r="Y37" s="4"/>
      <c r="Z37" s="4"/>
      <c r="AA37" s="4"/>
      <c r="AB37" s="4"/>
      <c r="AC37" s="11"/>
      <c r="AD37" s="13" t="s">
        <v>624</v>
      </c>
    </row>
    <row r="38" spans="1:30" x14ac:dyDescent="0.35">
      <c r="A38" s="4">
        <v>31</v>
      </c>
      <c r="B38" s="4" t="s">
        <v>466</v>
      </c>
      <c r="C38" s="4" t="s">
        <v>467</v>
      </c>
      <c r="D38" s="4">
        <v>4834</v>
      </c>
      <c r="E38" s="4">
        <v>83</v>
      </c>
      <c r="F38" s="4"/>
      <c r="G38" s="4">
        <v>83</v>
      </c>
      <c r="H38" s="4">
        <v>85</v>
      </c>
      <c r="I38" s="4">
        <v>86</v>
      </c>
      <c r="J38" s="4">
        <v>84</v>
      </c>
      <c r="K38" s="4">
        <v>85</v>
      </c>
      <c r="L38" s="4">
        <v>84</v>
      </c>
      <c r="M38" s="4">
        <v>84</v>
      </c>
      <c r="N38" s="4">
        <v>85</v>
      </c>
      <c r="O38" s="4">
        <v>85</v>
      </c>
      <c r="P38" s="5">
        <f t="shared" si="0"/>
        <v>84.4</v>
      </c>
      <c r="Q38" s="4">
        <v>0</v>
      </c>
      <c r="R38" s="4">
        <v>0</v>
      </c>
      <c r="S38" s="4">
        <v>0</v>
      </c>
      <c r="T38" s="13" t="s">
        <v>623</v>
      </c>
      <c r="U38" s="4" t="s">
        <v>71</v>
      </c>
      <c r="V38" s="4"/>
      <c r="W38" s="4"/>
      <c r="X38" s="4"/>
      <c r="Y38" s="4"/>
      <c r="Z38" s="4"/>
      <c r="AA38" s="4"/>
      <c r="AB38" s="4"/>
      <c r="AC38" s="11"/>
      <c r="AD38" s="13" t="s">
        <v>624</v>
      </c>
    </row>
    <row r="39" spans="1:30" x14ac:dyDescent="0.35">
      <c r="A39" s="4">
        <v>32</v>
      </c>
      <c r="B39" s="4" t="s">
        <v>468</v>
      </c>
      <c r="C39" s="4" t="s">
        <v>469</v>
      </c>
      <c r="D39" s="4">
        <v>4841</v>
      </c>
      <c r="E39" s="4">
        <v>81</v>
      </c>
      <c r="F39" s="4"/>
      <c r="G39" s="4">
        <v>78</v>
      </c>
      <c r="H39" s="4">
        <v>81</v>
      </c>
      <c r="I39" s="4">
        <v>80</v>
      </c>
      <c r="J39" s="4">
        <v>80</v>
      </c>
      <c r="K39" s="4">
        <v>83</v>
      </c>
      <c r="L39" s="4">
        <v>78</v>
      </c>
      <c r="M39" s="4">
        <v>79</v>
      </c>
      <c r="N39" s="4">
        <v>79</v>
      </c>
      <c r="O39" s="4">
        <v>79</v>
      </c>
      <c r="P39" s="5">
        <f t="shared" si="0"/>
        <v>79.8</v>
      </c>
      <c r="Q39" s="4">
        <v>1</v>
      </c>
      <c r="R39" s="4">
        <v>0</v>
      </c>
      <c r="S39" s="4">
        <v>1</v>
      </c>
      <c r="T39" s="13" t="s">
        <v>622</v>
      </c>
      <c r="U39" s="4" t="s">
        <v>71</v>
      </c>
      <c r="V39" s="4"/>
      <c r="W39" s="4"/>
      <c r="X39" s="4"/>
      <c r="Y39" s="4"/>
      <c r="Z39" s="4"/>
      <c r="AA39" s="4"/>
      <c r="AB39" s="4"/>
      <c r="AC39" s="11"/>
      <c r="AD39" s="13" t="s">
        <v>624</v>
      </c>
    </row>
    <row r="40" spans="1:30" x14ac:dyDescent="0.35">
      <c r="A40" s="4">
        <v>33</v>
      </c>
      <c r="B40" s="4" t="s">
        <v>470</v>
      </c>
      <c r="C40" s="4" t="s">
        <v>471</v>
      </c>
      <c r="D40" s="4">
        <v>4849</v>
      </c>
      <c r="E40" s="4">
        <v>81</v>
      </c>
      <c r="F40" s="4"/>
      <c r="G40" s="4">
        <v>83</v>
      </c>
      <c r="H40" s="4">
        <v>84</v>
      </c>
      <c r="I40" s="4">
        <v>83</v>
      </c>
      <c r="J40" s="4">
        <v>82</v>
      </c>
      <c r="K40" s="4">
        <v>82</v>
      </c>
      <c r="L40" s="4">
        <v>81</v>
      </c>
      <c r="M40" s="4">
        <v>82</v>
      </c>
      <c r="N40" s="4">
        <v>85</v>
      </c>
      <c r="O40" s="4">
        <v>82</v>
      </c>
      <c r="P40" s="5">
        <f t="shared" si="0"/>
        <v>82.5</v>
      </c>
      <c r="Q40" s="4">
        <v>0</v>
      </c>
      <c r="R40" s="4">
        <v>0</v>
      </c>
      <c r="S40" s="4">
        <v>1</v>
      </c>
      <c r="T40" s="13" t="s">
        <v>622</v>
      </c>
      <c r="U40" s="4" t="s">
        <v>71</v>
      </c>
      <c r="V40" s="4"/>
      <c r="W40" s="4"/>
      <c r="X40" s="4"/>
      <c r="Y40" s="4"/>
      <c r="Z40" s="4"/>
      <c r="AA40" s="4"/>
      <c r="AB40" s="4"/>
      <c r="AC40" s="11"/>
      <c r="AD40" s="13" t="s">
        <v>624</v>
      </c>
    </row>
    <row r="41" spans="1:30" x14ac:dyDescent="0.35">
      <c r="A41" s="4">
        <v>34</v>
      </c>
      <c r="B41" s="4" t="s">
        <v>472</v>
      </c>
      <c r="C41" s="4" t="s">
        <v>473</v>
      </c>
      <c r="D41" s="4">
        <v>4860</v>
      </c>
      <c r="E41" s="4">
        <v>86</v>
      </c>
      <c r="F41" s="4"/>
      <c r="G41" s="4">
        <v>85</v>
      </c>
      <c r="H41" s="4">
        <v>87</v>
      </c>
      <c r="I41" s="4">
        <v>87</v>
      </c>
      <c r="J41" s="4">
        <v>86</v>
      </c>
      <c r="K41" s="4">
        <v>83</v>
      </c>
      <c r="L41" s="4">
        <v>81</v>
      </c>
      <c r="M41" s="4">
        <v>84</v>
      </c>
      <c r="N41" s="4">
        <v>85</v>
      </c>
      <c r="O41" s="4">
        <v>85</v>
      </c>
      <c r="P41" s="5">
        <f t="shared" si="0"/>
        <v>84.9</v>
      </c>
      <c r="Q41" s="4">
        <v>0</v>
      </c>
      <c r="R41" s="4">
        <v>0</v>
      </c>
      <c r="S41" s="4">
        <v>0</v>
      </c>
      <c r="T41" s="13" t="s">
        <v>623</v>
      </c>
      <c r="U41" s="4" t="s">
        <v>71</v>
      </c>
      <c r="V41" s="4"/>
      <c r="W41" s="4"/>
      <c r="X41" s="4"/>
      <c r="Y41" s="4"/>
      <c r="Z41" s="4"/>
      <c r="AA41" s="4"/>
      <c r="AB41" s="4"/>
      <c r="AC41" s="11"/>
      <c r="AD41" s="13" t="s">
        <v>624</v>
      </c>
    </row>
    <row r="42" spans="1:30" x14ac:dyDescent="0.35">
      <c r="A42" s="4">
        <v>35</v>
      </c>
      <c r="B42" s="4" t="s">
        <v>474</v>
      </c>
      <c r="C42" s="4" t="s">
        <v>475</v>
      </c>
      <c r="D42" s="4">
        <v>4866</v>
      </c>
      <c r="E42" s="4">
        <v>78</v>
      </c>
      <c r="F42" s="4"/>
      <c r="G42" s="4">
        <v>76</v>
      </c>
      <c r="H42" s="4">
        <v>80</v>
      </c>
      <c r="I42" s="4">
        <v>78</v>
      </c>
      <c r="J42" s="4">
        <v>79</v>
      </c>
      <c r="K42" s="4">
        <v>83</v>
      </c>
      <c r="L42" s="4">
        <v>78</v>
      </c>
      <c r="M42" s="4">
        <v>78</v>
      </c>
      <c r="N42" s="4">
        <v>78</v>
      </c>
      <c r="O42" s="4">
        <v>79</v>
      </c>
      <c r="P42" s="5">
        <f t="shared" si="0"/>
        <v>78.7</v>
      </c>
      <c r="Q42" s="4">
        <v>1</v>
      </c>
      <c r="R42" s="4">
        <v>0</v>
      </c>
      <c r="S42" s="4">
        <v>3</v>
      </c>
      <c r="T42" s="13" t="s">
        <v>622</v>
      </c>
      <c r="U42" s="4" t="s">
        <v>71</v>
      </c>
      <c r="V42" s="4"/>
      <c r="W42" s="4"/>
      <c r="X42" s="4"/>
      <c r="Y42" s="4"/>
      <c r="Z42" s="4"/>
      <c r="AA42" s="4"/>
      <c r="AB42" s="4"/>
      <c r="AC42" s="11"/>
      <c r="AD42" s="13" t="s">
        <v>624</v>
      </c>
    </row>
    <row r="43" spans="1:30" x14ac:dyDescent="0.35">
      <c r="A43" s="4">
        <v>36</v>
      </c>
      <c r="B43" s="4" t="s">
        <v>476</v>
      </c>
      <c r="C43" s="4" t="s">
        <v>477</v>
      </c>
      <c r="D43" s="4">
        <v>4868</v>
      </c>
      <c r="E43" s="4">
        <v>87</v>
      </c>
      <c r="F43" s="4"/>
      <c r="G43" s="4">
        <v>84</v>
      </c>
      <c r="H43" s="4">
        <v>85</v>
      </c>
      <c r="I43" s="4">
        <v>83</v>
      </c>
      <c r="J43" s="4">
        <v>85</v>
      </c>
      <c r="K43" s="4">
        <v>85</v>
      </c>
      <c r="L43" s="4">
        <v>83</v>
      </c>
      <c r="M43" s="4">
        <v>85</v>
      </c>
      <c r="N43" s="4">
        <v>85</v>
      </c>
      <c r="O43" s="4">
        <v>85</v>
      </c>
      <c r="P43" s="5">
        <f t="shared" si="0"/>
        <v>84.7</v>
      </c>
      <c r="Q43" s="4">
        <v>0</v>
      </c>
      <c r="R43" s="4">
        <v>0</v>
      </c>
      <c r="S43" s="4">
        <v>0</v>
      </c>
      <c r="T43" s="13" t="s">
        <v>622</v>
      </c>
      <c r="U43" s="4" t="s">
        <v>71</v>
      </c>
      <c r="V43" s="4"/>
      <c r="W43" s="4"/>
      <c r="X43" s="4"/>
      <c r="Y43" s="4"/>
      <c r="Z43" s="4"/>
      <c r="AA43" s="4"/>
      <c r="AB43" s="4"/>
      <c r="AC43" s="11"/>
      <c r="AD43" s="13" t="s">
        <v>624</v>
      </c>
    </row>
  </sheetData>
  <mergeCells count="29">
    <mergeCell ref="AD4:AD7"/>
    <mergeCell ref="W5:W7"/>
    <mergeCell ref="X5:X7"/>
    <mergeCell ref="Y5:Y7"/>
    <mergeCell ref="Z5:Z7"/>
    <mergeCell ref="U4:AC4"/>
    <mergeCell ref="AA5:AA7"/>
    <mergeCell ref="AB5:AB7"/>
    <mergeCell ref="AC5:AC7"/>
    <mergeCell ref="U5:U7"/>
    <mergeCell ref="V5:V7"/>
    <mergeCell ref="Q4:S6"/>
    <mergeCell ref="E5:E7"/>
    <mergeCell ref="F5:F7"/>
    <mergeCell ref="G5:G7"/>
    <mergeCell ref="H5:H7"/>
    <mergeCell ref="I5:I7"/>
    <mergeCell ref="A4:A7"/>
    <mergeCell ref="B4:B7"/>
    <mergeCell ref="C4:C7"/>
    <mergeCell ref="D4:D7"/>
    <mergeCell ref="E4:P4"/>
    <mergeCell ref="N5:N7"/>
    <mergeCell ref="O5:O7"/>
    <mergeCell ref="P5:P7"/>
    <mergeCell ref="J5:J7"/>
    <mergeCell ref="K5:K7"/>
    <mergeCell ref="L5:L7"/>
    <mergeCell ref="M5:M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DAA7-36DC-44AF-898C-26DFA3693A09}">
  <dimension ref="A2:AC44"/>
  <sheetViews>
    <sheetView tabSelected="1" topLeftCell="A21" zoomScale="62" workbookViewId="0">
      <selection activeCell="AE25" sqref="AE25"/>
    </sheetView>
  </sheetViews>
  <sheetFormatPr defaultRowHeight="14.5" x14ac:dyDescent="0.35"/>
  <cols>
    <col min="1" max="1" width="4" customWidth="1"/>
    <col min="2" max="2" width="28.54296875" bestFit="1" customWidth="1"/>
    <col min="3" max="3" width="11.1796875" customWidth="1"/>
    <col min="4" max="4" width="5" bestFit="1" customWidth="1"/>
    <col min="5" max="14" width="5" customWidth="1"/>
    <col min="15" max="15" width="5.81640625" customWidth="1"/>
    <col min="16" max="18" width="5" customWidth="1"/>
    <col min="19" max="19" width="14.26953125" customWidth="1"/>
    <col min="20" max="22" width="5" customWidth="1"/>
    <col min="23" max="23" width="7.81640625" customWidth="1"/>
    <col min="24" max="28" width="5" customWidth="1"/>
    <col min="29" max="29" width="12.453125" customWidth="1"/>
  </cols>
  <sheetData>
    <row r="2" spans="1:29" ht="18.5" x14ac:dyDescent="0.4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9" x14ac:dyDescent="0.35">
      <c r="A3" s="2" t="s">
        <v>1</v>
      </c>
      <c r="B3" s="2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9" x14ac:dyDescent="0.35">
      <c r="A4" s="2" t="s">
        <v>3</v>
      </c>
      <c r="B4" s="2"/>
      <c r="C4" s="2" t="s">
        <v>478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9" x14ac:dyDescent="0.35">
      <c r="A5" s="15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 t="s">
        <v>10</v>
      </c>
      <c r="Q5" s="15"/>
      <c r="R5" s="16"/>
      <c r="S5" s="7"/>
      <c r="T5" s="18" t="s">
        <v>11</v>
      </c>
      <c r="U5" s="15"/>
      <c r="V5" s="15"/>
      <c r="W5" s="15"/>
      <c r="X5" s="15"/>
      <c r="Y5" s="15"/>
      <c r="Z5" s="15"/>
      <c r="AA5" s="15"/>
      <c r="AB5" s="15"/>
      <c r="AC5" s="15" t="s">
        <v>631</v>
      </c>
    </row>
    <row r="6" spans="1:29" x14ac:dyDescent="0.35">
      <c r="A6" s="15"/>
      <c r="B6" s="15"/>
      <c r="C6" s="15"/>
      <c r="D6" s="15"/>
      <c r="E6" s="15" t="s">
        <v>12</v>
      </c>
      <c r="F6" s="15" t="s">
        <v>14</v>
      </c>
      <c r="G6" s="15" t="s">
        <v>15</v>
      </c>
      <c r="H6" s="15" t="s">
        <v>16</v>
      </c>
      <c r="I6" s="15" t="s">
        <v>17</v>
      </c>
      <c r="J6" s="15" t="s">
        <v>18</v>
      </c>
      <c r="K6" s="15" t="s">
        <v>19</v>
      </c>
      <c r="L6" s="15" t="s">
        <v>20</v>
      </c>
      <c r="M6" s="15" t="s">
        <v>21</v>
      </c>
      <c r="N6" s="15" t="s">
        <v>22</v>
      </c>
      <c r="O6" s="15" t="s">
        <v>106</v>
      </c>
      <c r="P6" s="15"/>
      <c r="Q6" s="15"/>
      <c r="R6" s="16"/>
      <c r="S6" s="8" t="s">
        <v>548</v>
      </c>
      <c r="T6" s="18" t="s">
        <v>23</v>
      </c>
      <c r="U6" s="15" t="s">
        <v>108</v>
      </c>
      <c r="V6" s="15" t="s">
        <v>24</v>
      </c>
      <c r="W6" s="15" t="s">
        <v>109</v>
      </c>
      <c r="X6" s="15" t="s">
        <v>256</v>
      </c>
      <c r="Y6" s="15" t="s">
        <v>404</v>
      </c>
      <c r="Z6" s="15" t="s">
        <v>26</v>
      </c>
      <c r="AA6" s="15" t="s">
        <v>257</v>
      </c>
      <c r="AB6" s="15" t="s">
        <v>405</v>
      </c>
      <c r="AC6" s="15"/>
    </row>
    <row r="7" spans="1:29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S7" s="8"/>
      <c r="T7" s="18"/>
      <c r="U7" s="15"/>
      <c r="V7" s="15"/>
      <c r="W7" s="15"/>
      <c r="X7" s="15"/>
      <c r="Y7" s="15"/>
      <c r="Z7" s="15"/>
      <c r="AA7" s="15"/>
      <c r="AB7" s="15"/>
      <c r="AC7" s="15"/>
    </row>
    <row r="8" spans="1:29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3" t="s">
        <v>29</v>
      </c>
      <c r="Q8" s="3" t="s">
        <v>30</v>
      </c>
      <c r="R8" s="6" t="s">
        <v>31</v>
      </c>
      <c r="S8" s="9"/>
      <c r="T8" s="18"/>
      <c r="U8" s="15"/>
      <c r="V8" s="15"/>
      <c r="W8" s="15"/>
      <c r="X8" s="15"/>
      <c r="Y8" s="15"/>
      <c r="Z8" s="15"/>
      <c r="AA8" s="15"/>
      <c r="AB8" s="15"/>
      <c r="AC8" s="17"/>
    </row>
    <row r="9" spans="1:29" x14ac:dyDescent="0.35">
      <c r="A9" s="4">
        <v>1</v>
      </c>
      <c r="B9" s="4" t="s">
        <v>406</v>
      </c>
      <c r="C9" s="4" t="s">
        <v>479</v>
      </c>
      <c r="D9" s="4">
        <v>4591</v>
      </c>
      <c r="E9" s="4">
        <v>82</v>
      </c>
      <c r="F9" s="4">
        <v>81</v>
      </c>
      <c r="G9" s="4">
        <v>80</v>
      </c>
      <c r="H9" s="4">
        <v>78</v>
      </c>
      <c r="I9" s="4">
        <v>77</v>
      </c>
      <c r="J9" s="4">
        <v>81</v>
      </c>
      <c r="K9" s="4">
        <v>79</v>
      </c>
      <c r="L9" s="4">
        <v>80</v>
      </c>
      <c r="M9" s="4">
        <v>80</v>
      </c>
      <c r="N9" s="4">
        <v>78</v>
      </c>
      <c r="O9" s="5">
        <f>AVERAGE(E9:N9)</f>
        <v>79.599999999999994</v>
      </c>
      <c r="P9" s="4">
        <v>0</v>
      </c>
      <c r="Q9" s="4">
        <v>0</v>
      </c>
      <c r="R9" s="4">
        <v>0</v>
      </c>
      <c r="S9" s="13" t="s">
        <v>623</v>
      </c>
      <c r="T9" s="4" t="s">
        <v>60</v>
      </c>
      <c r="U9" s="4"/>
      <c r="V9" s="4"/>
      <c r="W9" s="4"/>
      <c r="X9" s="4"/>
      <c r="Y9" s="4"/>
      <c r="Z9" s="4"/>
      <c r="AA9" s="4"/>
      <c r="AB9" s="11"/>
      <c r="AC9" s="13" t="s">
        <v>624</v>
      </c>
    </row>
    <row r="10" spans="1:29" x14ac:dyDescent="0.35">
      <c r="A10" s="4">
        <v>2</v>
      </c>
      <c r="B10" s="4" t="s">
        <v>480</v>
      </c>
      <c r="C10" s="4" t="s">
        <v>481</v>
      </c>
      <c r="D10" s="4">
        <v>4600</v>
      </c>
      <c r="E10" s="4">
        <v>88</v>
      </c>
      <c r="F10" s="4">
        <v>86</v>
      </c>
      <c r="G10" s="4">
        <v>87</v>
      </c>
      <c r="H10" s="4">
        <v>88</v>
      </c>
      <c r="I10" s="4">
        <v>84</v>
      </c>
      <c r="J10" s="4">
        <v>85</v>
      </c>
      <c r="K10" s="4">
        <v>85</v>
      </c>
      <c r="L10" s="4">
        <v>85</v>
      </c>
      <c r="M10" s="4">
        <v>86</v>
      </c>
      <c r="N10" s="4">
        <v>85</v>
      </c>
      <c r="O10" s="5">
        <f t="shared" ref="O10:O43" si="0">AVERAGE(E10:N10)</f>
        <v>85.9</v>
      </c>
      <c r="P10" s="4">
        <v>0</v>
      </c>
      <c r="Q10" s="4">
        <v>0</v>
      </c>
      <c r="R10" s="4">
        <v>0</v>
      </c>
      <c r="S10" s="13" t="s">
        <v>623</v>
      </c>
      <c r="T10" s="4" t="s">
        <v>71</v>
      </c>
      <c r="U10" s="4"/>
      <c r="V10" s="4" t="s">
        <v>71</v>
      </c>
      <c r="W10" s="4"/>
      <c r="X10" s="4"/>
      <c r="Y10" s="4"/>
      <c r="Z10" s="4"/>
      <c r="AA10" s="4"/>
      <c r="AB10" s="11" t="s">
        <v>71</v>
      </c>
      <c r="AC10" s="13" t="s">
        <v>630</v>
      </c>
    </row>
    <row r="11" spans="1:29" x14ac:dyDescent="0.35">
      <c r="A11" s="4">
        <v>3</v>
      </c>
      <c r="B11" s="4" t="s">
        <v>482</v>
      </c>
      <c r="C11" s="4" t="s">
        <v>483</v>
      </c>
      <c r="D11" s="4">
        <v>4615</v>
      </c>
      <c r="E11" s="4">
        <v>84</v>
      </c>
      <c r="F11" s="4">
        <v>82</v>
      </c>
      <c r="G11" s="4">
        <v>84</v>
      </c>
      <c r="H11" s="4">
        <v>83</v>
      </c>
      <c r="I11" s="4">
        <v>80</v>
      </c>
      <c r="J11" s="4">
        <v>84</v>
      </c>
      <c r="K11" s="4">
        <v>84</v>
      </c>
      <c r="L11" s="4">
        <v>80</v>
      </c>
      <c r="M11" s="4">
        <v>83</v>
      </c>
      <c r="N11" s="4">
        <v>80</v>
      </c>
      <c r="O11" s="5">
        <f t="shared" si="0"/>
        <v>82.4</v>
      </c>
      <c r="P11" s="4">
        <v>1</v>
      </c>
      <c r="Q11" s="4">
        <v>0</v>
      </c>
      <c r="R11" s="4">
        <v>0</v>
      </c>
      <c r="S11" s="13" t="s">
        <v>622</v>
      </c>
      <c r="T11" s="4" t="s">
        <v>71</v>
      </c>
      <c r="U11" s="4"/>
      <c r="V11" s="4"/>
      <c r="W11" s="4"/>
      <c r="X11" s="4"/>
      <c r="Y11" s="4"/>
      <c r="Z11" s="4"/>
      <c r="AA11" s="4"/>
      <c r="AB11" s="11"/>
      <c r="AC11" s="13" t="s">
        <v>624</v>
      </c>
    </row>
    <row r="12" spans="1:29" x14ac:dyDescent="0.35">
      <c r="A12" s="4">
        <v>4</v>
      </c>
      <c r="B12" s="4" t="s">
        <v>484</v>
      </c>
      <c r="C12" s="4" t="s">
        <v>485</v>
      </c>
      <c r="D12" s="4">
        <v>4626</v>
      </c>
      <c r="E12" s="4">
        <v>85</v>
      </c>
      <c r="F12" s="4">
        <v>83</v>
      </c>
      <c r="G12" s="4">
        <v>83</v>
      </c>
      <c r="H12" s="4">
        <v>85</v>
      </c>
      <c r="I12" s="4">
        <v>82</v>
      </c>
      <c r="J12" s="4">
        <v>85</v>
      </c>
      <c r="K12" s="4">
        <v>83</v>
      </c>
      <c r="L12" s="4">
        <v>82</v>
      </c>
      <c r="M12" s="4">
        <v>83</v>
      </c>
      <c r="N12" s="4">
        <v>80</v>
      </c>
      <c r="O12" s="5">
        <f t="shared" si="0"/>
        <v>83.1</v>
      </c>
      <c r="P12" s="4">
        <v>0</v>
      </c>
      <c r="Q12" s="4">
        <v>0</v>
      </c>
      <c r="R12" s="4">
        <v>0</v>
      </c>
      <c r="S12" s="13" t="s">
        <v>623</v>
      </c>
      <c r="T12" s="4" t="s">
        <v>71</v>
      </c>
      <c r="U12" s="4"/>
      <c r="V12" s="4"/>
      <c r="W12" s="4"/>
      <c r="X12" s="4"/>
      <c r="Y12" s="4"/>
      <c r="Z12" s="4" t="s">
        <v>71</v>
      </c>
      <c r="AA12" s="4"/>
      <c r="AB12" s="11"/>
      <c r="AC12" s="13" t="s">
        <v>626</v>
      </c>
    </row>
    <row r="13" spans="1:29" x14ac:dyDescent="0.35">
      <c r="A13" s="4">
        <v>5</v>
      </c>
      <c r="B13" s="4" t="s">
        <v>486</v>
      </c>
      <c r="C13" s="4" t="s">
        <v>487</v>
      </c>
      <c r="D13" s="4">
        <v>4632</v>
      </c>
      <c r="E13" s="4">
        <v>88</v>
      </c>
      <c r="F13" s="4">
        <v>84</v>
      </c>
      <c r="G13" s="4">
        <v>84</v>
      </c>
      <c r="H13" s="4">
        <v>83</v>
      </c>
      <c r="I13" s="4">
        <v>80</v>
      </c>
      <c r="J13" s="4">
        <v>85</v>
      </c>
      <c r="K13" s="4">
        <v>83</v>
      </c>
      <c r="L13" s="4">
        <v>83</v>
      </c>
      <c r="M13" s="4">
        <v>82</v>
      </c>
      <c r="N13" s="4">
        <v>84</v>
      </c>
      <c r="O13" s="5">
        <f t="shared" si="0"/>
        <v>83.6</v>
      </c>
      <c r="P13" s="4">
        <v>0</v>
      </c>
      <c r="Q13" s="4">
        <v>0</v>
      </c>
      <c r="R13" s="4">
        <v>0</v>
      </c>
      <c r="S13" s="13" t="s">
        <v>623</v>
      </c>
      <c r="T13" s="4" t="s">
        <v>71</v>
      </c>
      <c r="U13" s="4"/>
      <c r="V13" s="4"/>
      <c r="W13" s="4"/>
      <c r="X13" s="4"/>
      <c r="Y13" s="4"/>
      <c r="Z13" s="4" t="s">
        <v>71</v>
      </c>
      <c r="AA13" s="4"/>
      <c r="AB13" s="11"/>
      <c r="AC13" s="13" t="s">
        <v>626</v>
      </c>
    </row>
    <row r="14" spans="1:29" x14ac:dyDescent="0.35">
      <c r="A14" s="4">
        <v>6</v>
      </c>
      <c r="B14" s="4" t="s">
        <v>488</v>
      </c>
      <c r="C14" s="4" t="s">
        <v>489</v>
      </c>
      <c r="D14" s="4">
        <v>4639</v>
      </c>
      <c r="E14" s="4">
        <v>83</v>
      </c>
      <c r="F14" s="4">
        <v>83</v>
      </c>
      <c r="G14" s="4">
        <v>82</v>
      </c>
      <c r="H14" s="4">
        <v>80</v>
      </c>
      <c r="I14" s="4">
        <v>79</v>
      </c>
      <c r="J14" s="4">
        <v>84</v>
      </c>
      <c r="K14" s="4">
        <v>78</v>
      </c>
      <c r="L14" s="4">
        <v>77</v>
      </c>
      <c r="M14" s="4">
        <v>78</v>
      </c>
      <c r="N14" s="4">
        <v>80</v>
      </c>
      <c r="O14" s="5">
        <f t="shared" si="0"/>
        <v>80.400000000000006</v>
      </c>
      <c r="P14" s="4">
        <v>0</v>
      </c>
      <c r="Q14" s="4">
        <v>0</v>
      </c>
      <c r="R14" s="4">
        <v>0</v>
      </c>
      <c r="S14" s="13" t="s">
        <v>623</v>
      </c>
      <c r="T14" s="4" t="s">
        <v>71</v>
      </c>
      <c r="U14" s="4"/>
      <c r="V14" s="4"/>
      <c r="W14" s="4"/>
      <c r="X14" s="4"/>
      <c r="Y14" s="4"/>
      <c r="Z14" s="4"/>
      <c r="AA14" s="4"/>
      <c r="AB14" s="11"/>
      <c r="AC14" s="13" t="s">
        <v>624</v>
      </c>
    </row>
    <row r="15" spans="1:29" x14ac:dyDescent="0.35">
      <c r="A15" s="4">
        <v>7</v>
      </c>
      <c r="B15" s="4" t="s">
        <v>490</v>
      </c>
      <c r="C15" s="4" t="s">
        <v>491</v>
      </c>
      <c r="D15" s="4">
        <v>4651</v>
      </c>
      <c r="E15" s="4">
        <v>85</v>
      </c>
      <c r="F15" s="4">
        <v>84</v>
      </c>
      <c r="G15" s="4">
        <v>84</v>
      </c>
      <c r="H15" s="4">
        <v>84</v>
      </c>
      <c r="I15" s="4">
        <v>82</v>
      </c>
      <c r="J15" s="4">
        <v>84</v>
      </c>
      <c r="K15" s="4">
        <v>81</v>
      </c>
      <c r="L15" s="4">
        <v>83</v>
      </c>
      <c r="M15" s="4">
        <v>81</v>
      </c>
      <c r="N15" s="4">
        <v>80</v>
      </c>
      <c r="O15" s="5">
        <f t="shared" si="0"/>
        <v>82.8</v>
      </c>
      <c r="P15" s="4">
        <v>0</v>
      </c>
      <c r="Q15" s="4">
        <v>0</v>
      </c>
      <c r="R15" s="4">
        <v>0</v>
      </c>
      <c r="S15" s="13" t="s">
        <v>623</v>
      </c>
      <c r="T15" s="4" t="s">
        <v>71</v>
      </c>
      <c r="U15" s="4"/>
      <c r="V15" s="4"/>
      <c r="W15" s="4"/>
      <c r="X15" s="4"/>
      <c r="Y15" s="4"/>
      <c r="Z15" s="4"/>
      <c r="AA15" s="4"/>
      <c r="AB15" s="11"/>
      <c r="AC15" s="13" t="s">
        <v>624</v>
      </c>
    </row>
    <row r="16" spans="1:29" x14ac:dyDescent="0.35">
      <c r="A16" s="4">
        <v>8</v>
      </c>
      <c r="B16" s="4" t="s">
        <v>492</v>
      </c>
      <c r="C16" s="4" t="s">
        <v>493</v>
      </c>
      <c r="D16" s="4">
        <v>4657</v>
      </c>
      <c r="E16" s="4">
        <v>82</v>
      </c>
      <c r="F16" s="4">
        <v>80</v>
      </c>
      <c r="G16" s="4">
        <v>82</v>
      </c>
      <c r="H16" s="4">
        <v>83</v>
      </c>
      <c r="I16" s="4">
        <v>80</v>
      </c>
      <c r="J16" s="4">
        <v>84</v>
      </c>
      <c r="K16" s="4">
        <v>81</v>
      </c>
      <c r="L16" s="4">
        <v>83</v>
      </c>
      <c r="M16" s="4">
        <v>83</v>
      </c>
      <c r="N16" s="4">
        <v>80</v>
      </c>
      <c r="O16" s="5">
        <f t="shared" si="0"/>
        <v>81.8</v>
      </c>
      <c r="P16" s="4">
        <v>1</v>
      </c>
      <c r="Q16" s="4">
        <v>0</v>
      </c>
      <c r="R16" s="4">
        <v>0</v>
      </c>
      <c r="S16" s="13" t="s">
        <v>622</v>
      </c>
      <c r="T16" s="4" t="s">
        <v>71</v>
      </c>
      <c r="U16" s="4"/>
      <c r="V16" s="4"/>
      <c r="W16" s="4"/>
      <c r="X16" s="4"/>
      <c r="Y16" s="4"/>
      <c r="Z16" s="4"/>
      <c r="AA16" s="4"/>
      <c r="AB16" s="11"/>
      <c r="AC16" s="13" t="s">
        <v>624</v>
      </c>
    </row>
    <row r="17" spans="1:29" x14ac:dyDescent="0.35">
      <c r="A17" s="4">
        <v>9</v>
      </c>
      <c r="B17" s="4" t="s">
        <v>494</v>
      </c>
      <c r="C17" s="4" t="s">
        <v>495</v>
      </c>
      <c r="D17" s="4">
        <v>4668</v>
      </c>
      <c r="E17" s="4">
        <v>84</v>
      </c>
      <c r="F17" s="4">
        <v>80</v>
      </c>
      <c r="G17" s="4">
        <v>82</v>
      </c>
      <c r="H17" s="4">
        <v>82</v>
      </c>
      <c r="I17" s="4">
        <v>80</v>
      </c>
      <c r="J17" s="4">
        <v>84</v>
      </c>
      <c r="K17" s="4">
        <v>81</v>
      </c>
      <c r="L17" s="4">
        <v>83</v>
      </c>
      <c r="M17" s="4">
        <v>83</v>
      </c>
      <c r="N17" s="4">
        <v>80</v>
      </c>
      <c r="O17" s="5">
        <f t="shared" si="0"/>
        <v>81.900000000000006</v>
      </c>
      <c r="P17" s="4">
        <v>0</v>
      </c>
      <c r="Q17" s="4">
        <v>0</v>
      </c>
      <c r="R17" s="4">
        <v>0</v>
      </c>
      <c r="S17" s="13" t="s">
        <v>623</v>
      </c>
      <c r="T17" s="4" t="s">
        <v>71</v>
      </c>
      <c r="U17" s="4"/>
      <c r="V17" s="4"/>
      <c r="W17" s="4"/>
      <c r="X17" s="4"/>
      <c r="Y17" s="4"/>
      <c r="Z17" s="4"/>
      <c r="AA17" s="4"/>
      <c r="AB17" s="11"/>
      <c r="AC17" s="13" t="s">
        <v>624</v>
      </c>
    </row>
    <row r="18" spans="1:29" x14ac:dyDescent="0.35">
      <c r="A18" s="4">
        <v>10</v>
      </c>
      <c r="B18" s="4" t="s">
        <v>496</v>
      </c>
      <c r="C18" s="4" t="s">
        <v>497</v>
      </c>
      <c r="D18" s="4">
        <v>4669</v>
      </c>
      <c r="E18" s="4">
        <v>82</v>
      </c>
      <c r="F18" s="4">
        <v>79</v>
      </c>
      <c r="G18" s="4">
        <v>83</v>
      </c>
      <c r="H18" s="4">
        <v>80</v>
      </c>
      <c r="I18" s="4">
        <v>78</v>
      </c>
      <c r="J18" s="4">
        <v>84</v>
      </c>
      <c r="K18" s="4">
        <v>83</v>
      </c>
      <c r="L18" s="4">
        <v>80</v>
      </c>
      <c r="M18" s="4">
        <v>81</v>
      </c>
      <c r="N18" s="4">
        <v>80</v>
      </c>
      <c r="O18" s="5">
        <f t="shared" si="0"/>
        <v>81</v>
      </c>
      <c r="P18" s="4">
        <v>0</v>
      </c>
      <c r="Q18" s="4">
        <v>0</v>
      </c>
      <c r="R18" s="4">
        <v>0</v>
      </c>
      <c r="S18" s="13" t="s">
        <v>623</v>
      </c>
      <c r="T18" s="4" t="s">
        <v>71</v>
      </c>
      <c r="U18" s="4"/>
      <c r="V18" s="4"/>
      <c r="W18" s="4"/>
      <c r="X18" s="4"/>
      <c r="Y18" s="4"/>
      <c r="Z18" s="4"/>
      <c r="AA18" s="4"/>
      <c r="AB18" s="11"/>
      <c r="AC18" s="13" t="s">
        <v>624</v>
      </c>
    </row>
    <row r="19" spans="1:29" x14ac:dyDescent="0.35">
      <c r="A19" s="4">
        <v>11</v>
      </c>
      <c r="B19" s="4" t="s">
        <v>498</v>
      </c>
      <c r="C19" s="4" t="s">
        <v>499</v>
      </c>
      <c r="D19" s="4">
        <v>4681</v>
      </c>
      <c r="E19" s="4">
        <v>88</v>
      </c>
      <c r="F19" s="4">
        <v>87</v>
      </c>
      <c r="G19" s="4">
        <v>83</v>
      </c>
      <c r="H19" s="4">
        <v>84</v>
      </c>
      <c r="I19" s="4">
        <v>82</v>
      </c>
      <c r="J19" s="4">
        <v>85</v>
      </c>
      <c r="K19" s="4">
        <v>81</v>
      </c>
      <c r="L19" s="4">
        <v>83</v>
      </c>
      <c r="M19" s="4">
        <v>81</v>
      </c>
      <c r="N19" s="4">
        <v>79</v>
      </c>
      <c r="O19" s="5">
        <f t="shared" si="0"/>
        <v>83.3</v>
      </c>
      <c r="P19" s="4">
        <v>0</v>
      </c>
      <c r="Q19" s="4">
        <v>0</v>
      </c>
      <c r="R19" s="4">
        <v>0</v>
      </c>
      <c r="S19" s="13" t="s">
        <v>623</v>
      </c>
      <c r="T19" s="4" t="s">
        <v>71</v>
      </c>
      <c r="U19" s="4"/>
      <c r="V19" s="4"/>
      <c r="W19" s="4"/>
      <c r="X19" s="4"/>
      <c r="Y19" s="4"/>
      <c r="Z19" s="4"/>
      <c r="AA19" s="4"/>
      <c r="AB19" s="11"/>
      <c r="AC19" s="13" t="s">
        <v>624</v>
      </c>
    </row>
    <row r="20" spans="1:29" x14ac:dyDescent="0.35">
      <c r="A20" s="4">
        <v>12</v>
      </c>
      <c r="B20" s="4" t="s">
        <v>500</v>
      </c>
      <c r="C20" s="4" t="s">
        <v>501</v>
      </c>
      <c r="D20" s="4">
        <v>4694</v>
      </c>
      <c r="E20" s="4">
        <v>88</v>
      </c>
      <c r="F20" s="4">
        <v>85</v>
      </c>
      <c r="G20" s="4">
        <v>85</v>
      </c>
      <c r="H20" s="4">
        <v>85</v>
      </c>
      <c r="I20" s="4">
        <v>81</v>
      </c>
      <c r="J20" s="4">
        <v>85</v>
      </c>
      <c r="K20" s="4">
        <v>83</v>
      </c>
      <c r="L20" s="4">
        <v>80</v>
      </c>
      <c r="M20" s="4">
        <v>87</v>
      </c>
      <c r="N20" s="4">
        <v>83</v>
      </c>
      <c r="O20" s="5">
        <f t="shared" si="0"/>
        <v>84.2</v>
      </c>
      <c r="P20" s="4">
        <v>0</v>
      </c>
      <c r="Q20" s="4">
        <v>0</v>
      </c>
      <c r="R20" s="4">
        <v>0</v>
      </c>
      <c r="S20" s="13" t="s">
        <v>623</v>
      </c>
      <c r="T20" s="4" t="s">
        <v>71</v>
      </c>
      <c r="U20" s="4"/>
      <c r="V20" s="4"/>
      <c r="W20" s="4"/>
      <c r="X20" s="4"/>
      <c r="Y20" s="4"/>
      <c r="Z20" s="4"/>
      <c r="AA20" s="4"/>
      <c r="AB20" s="11"/>
      <c r="AC20" s="13" t="s">
        <v>624</v>
      </c>
    </row>
    <row r="21" spans="1:29" x14ac:dyDescent="0.35">
      <c r="A21" s="4">
        <v>13</v>
      </c>
      <c r="B21" s="4" t="s">
        <v>502</v>
      </c>
      <c r="C21" s="4" t="s">
        <v>503</v>
      </c>
      <c r="D21" s="4">
        <v>4701</v>
      </c>
      <c r="E21" s="4">
        <v>81</v>
      </c>
      <c r="F21" s="4">
        <v>80</v>
      </c>
      <c r="G21" s="4">
        <v>83</v>
      </c>
      <c r="H21" s="4">
        <v>80</v>
      </c>
      <c r="I21" s="4">
        <v>80</v>
      </c>
      <c r="J21" s="4">
        <v>84</v>
      </c>
      <c r="K21" s="4">
        <v>83</v>
      </c>
      <c r="L21" s="4">
        <v>83</v>
      </c>
      <c r="M21" s="4">
        <v>87</v>
      </c>
      <c r="N21" s="4">
        <v>79</v>
      </c>
      <c r="O21" s="5">
        <f t="shared" si="0"/>
        <v>82</v>
      </c>
      <c r="P21" s="4">
        <v>0</v>
      </c>
      <c r="Q21" s="4">
        <v>0</v>
      </c>
      <c r="R21" s="4">
        <v>0</v>
      </c>
      <c r="S21" s="13" t="s">
        <v>623</v>
      </c>
      <c r="T21" s="4" t="s">
        <v>71</v>
      </c>
      <c r="U21" s="4"/>
      <c r="V21" s="4"/>
      <c r="W21" s="4"/>
      <c r="X21" s="4"/>
      <c r="Y21" s="4"/>
      <c r="Z21" s="4"/>
      <c r="AA21" s="4"/>
      <c r="AB21" s="11"/>
      <c r="AC21" s="13" t="s">
        <v>624</v>
      </c>
    </row>
    <row r="22" spans="1:29" x14ac:dyDescent="0.35">
      <c r="A22" s="4">
        <v>14</v>
      </c>
      <c r="B22" s="4" t="s">
        <v>504</v>
      </c>
      <c r="C22" s="4" t="s">
        <v>505</v>
      </c>
      <c r="D22" s="4">
        <v>4705</v>
      </c>
      <c r="E22" s="4">
        <v>85</v>
      </c>
      <c r="F22" s="4">
        <v>79</v>
      </c>
      <c r="G22" s="4">
        <v>80</v>
      </c>
      <c r="H22" s="4">
        <v>78</v>
      </c>
      <c r="I22" s="4">
        <v>77</v>
      </c>
      <c r="J22" s="4">
        <v>81</v>
      </c>
      <c r="K22" s="4">
        <v>79</v>
      </c>
      <c r="L22" s="4">
        <v>80</v>
      </c>
      <c r="M22" s="4">
        <v>82</v>
      </c>
      <c r="N22" s="4">
        <v>78</v>
      </c>
      <c r="O22" s="5">
        <f t="shared" si="0"/>
        <v>79.900000000000006</v>
      </c>
      <c r="P22" s="4">
        <v>0</v>
      </c>
      <c r="Q22" s="4">
        <v>0</v>
      </c>
      <c r="R22" s="4">
        <v>0</v>
      </c>
      <c r="S22" s="13" t="s">
        <v>623</v>
      </c>
      <c r="T22" s="4" t="s">
        <v>71</v>
      </c>
      <c r="U22" s="4"/>
      <c r="V22" s="4"/>
      <c r="W22" s="4"/>
      <c r="X22" s="4"/>
      <c r="Y22" s="4"/>
      <c r="Z22" s="4"/>
      <c r="AA22" s="4"/>
      <c r="AB22" s="11"/>
      <c r="AC22" s="13" t="s">
        <v>624</v>
      </c>
    </row>
    <row r="23" spans="1:29" x14ac:dyDescent="0.35">
      <c r="A23" s="4">
        <v>15</v>
      </c>
      <c r="B23" s="4" t="s">
        <v>506</v>
      </c>
      <c r="C23" s="4" t="s">
        <v>507</v>
      </c>
      <c r="D23" s="4">
        <v>4716</v>
      </c>
      <c r="E23" s="4">
        <v>89</v>
      </c>
      <c r="F23" s="4">
        <v>87</v>
      </c>
      <c r="G23" s="4">
        <v>87</v>
      </c>
      <c r="H23" s="4">
        <v>88</v>
      </c>
      <c r="I23" s="4">
        <v>83</v>
      </c>
      <c r="J23" s="4">
        <v>85</v>
      </c>
      <c r="K23" s="4">
        <v>84</v>
      </c>
      <c r="L23" s="4">
        <v>84</v>
      </c>
      <c r="M23" s="4">
        <v>85</v>
      </c>
      <c r="N23" s="4">
        <v>85</v>
      </c>
      <c r="O23" s="5">
        <f t="shared" si="0"/>
        <v>85.7</v>
      </c>
      <c r="P23" s="4">
        <v>1</v>
      </c>
      <c r="Q23" s="4">
        <v>0</v>
      </c>
      <c r="R23" s="4">
        <v>0</v>
      </c>
      <c r="S23" s="13" t="s">
        <v>623</v>
      </c>
      <c r="T23" s="4" t="s">
        <v>71</v>
      </c>
      <c r="U23" s="4" t="s">
        <v>60</v>
      </c>
      <c r="V23" s="4"/>
      <c r="W23" s="4"/>
      <c r="X23" s="4"/>
      <c r="Y23" s="4"/>
      <c r="Z23" s="4"/>
      <c r="AA23" s="4" t="s">
        <v>71</v>
      </c>
      <c r="AB23" s="11"/>
      <c r="AC23" s="13" t="s">
        <v>624</v>
      </c>
    </row>
    <row r="24" spans="1:29" x14ac:dyDescent="0.35">
      <c r="A24" s="4">
        <v>16</v>
      </c>
      <c r="B24" s="4" t="s">
        <v>508</v>
      </c>
      <c r="C24" s="4" t="s">
        <v>509</v>
      </c>
      <c r="D24" s="4">
        <v>4724</v>
      </c>
      <c r="E24" s="4">
        <v>85</v>
      </c>
      <c r="F24" s="4">
        <v>85</v>
      </c>
      <c r="G24" s="4">
        <v>87</v>
      </c>
      <c r="H24" s="4">
        <v>85</v>
      </c>
      <c r="I24" s="4">
        <v>82</v>
      </c>
      <c r="J24" s="4">
        <v>84</v>
      </c>
      <c r="K24" s="4">
        <v>82</v>
      </c>
      <c r="L24" s="4">
        <v>85</v>
      </c>
      <c r="M24" s="4">
        <v>85</v>
      </c>
      <c r="N24" s="4">
        <v>82</v>
      </c>
      <c r="O24" s="5">
        <f t="shared" si="0"/>
        <v>84.2</v>
      </c>
      <c r="P24" s="4">
        <v>1</v>
      </c>
      <c r="Q24" s="4">
        <v>0</v>
      </c>
      <c r="R24" s="4">
        <v>0</v>
      </c>
      <c r="S24" s="13" t="s">
        <v>622</v>
      </c>
      <c r="T24" s="4" t="s">
        <v>71</v>
      </c>
      <c r="U24" s="4"/>
      <c r="V24" s="4"/>
      <c r="W24" s="4"/>
      <c r="X24" s="4"/>
      <c r="Y24" s="4"/>
      <c r="Z24" s="4"/>
      <c r="AA24" s="4"/>
      <c r="AB24" s="11"/>
      <c r="AC24" s="13" t="s">
        <v>624</v>
      </c>
    </row>
    <row r="25" spans="1:29" x14ac:dyDescent="0.35">
      <c r="A25" s="4">
        <v>17</v>
      </c>
      <c r="B25" s="4" t="s">
        <v>510</v>
      </c>
      <c r="C25" s="4" t="s">
        <v>511</v>
      </c>
      <c r="D25" s="4">
        <v>4733</v>
      </c>
      <c r="E25" s="4">
        <v>82</v>
      </c>
      <c r="F25" s="4">
        <v>81</v>
      </c>
      <c r="G25" s="4">
        <v>83</v>
      </c>
      <c r="H25" s="4">
        <v>80</v>
      </c>
      <c r="I25" s="4">
        <v>78</v>
      </c>
      <c r="J25" s="4">
        <v>83</v>
      </c>
      <c r="K25" s="4">
        <v>80</v>
      </c>
      <c r="L25" s="4">
        <v>80</v>
      </c>
      <c r="M25" s="4">
        <v>85</v>
      </c>
      <c r="N25" s="4">
        <v>80</v>
      </c>
      <c r="O25" s="5">
        <f t="shared" si="0"/>
        <v>81.2</v>
      </c>
      <c r="P25" s="4">
        <v>0</v>
      </c>
      <c r="Q25" s="4">
        <v>0</v>
      </c>
      <c r="R25" s="4">
        <v>2</v>
      </c>
      <c r="S25" s="13" t="s">
        <v>622</v>
      </c>
      <c r="T25" s="4" t="s">
        <v>71</v>
      </c>
      <c r="U25" s="4"/>
      <c r="V25" s="4"/>
      <c r="W25" s="4"/>
      <c r="X25" s="4"/>
      <c r="Y25" s="4"/>
      <c r="Z25" s="4"/>
      <c r="AA25" s="4"/>
      <c r="AB25" s="11"/>
      <c r="AC25" s="13" t="s">
        <v>624</v>
      </c>
    </row>
    <row r="26" spans="1:29" x14ac:dyDescent="0.35">
      <c r="A26" s="4">
        <v>18</v>
      </c>
      <c r="B26" s="4" t="s">
        <v>512</v>
      </c>
      <c r="C26" s="4" t="s">
        <v>513</v>
      </c>
      <c r="D26" s="4">
        <v>4741</v>
      </c>
      <c r="E26" s="4">
        <v>10</v>
      </c>
      <c r="F26" s="4">
        <v>10</v>
      </c>
      <c r="G26" s="4">
        <v>10</v>
      </c>
      <c r="H26" s="4">
        <v>20</v>
      </c>
      <c r="I26" s="4">
        <v>78</v>
      </c>
      <c r="J26" s="4">
        <v>15</v>
      </c>
      <c r="K26" s="4">
        <v>20</v>
      </c>
      <c r="L26" s="4">
        <v>78</v>
      </c>
      <c r="M26" s="4">
        <v>10</v>
      </c>
      <c r="N26" s="4"/>
      <c r="O26" s="5">
        <f t="shared" si="0"/>
        <v>27.888888888888889</v>
      </c>
      <c r="P26" s="4">
        <v>0</v>
      </c>
      <c r="Q26" s="4">
        <v>0</v>
      </c>
      <c r="R26" s="4">
        <v>0</v>
      </c>
      <c r="S26" s="19" t="s">
        <v>635</v>
      </c>
      <c r="T26" s="4" t="s">
        <v>71</v>
      </c>
      <c r="U26" s="4"/>
      <c r="V26" s="4"/>
      <c r="W26" s="4"/>
      <c r="X26" s="4"/>
      <c r="Y26" s="4"/>
      <c r="Z26" s="4"/>
      <c r="AA26" s="4"/>
      <c r="AB26" s="11"/>
      <c r="AC26" s="13" t="s">
        <v>624</v>
      </c>
    </row>
    <row r="27" spans="1:29" x14ac:dyDescent="0.35">
      <c r="A27" s="4">
        <v>19</v>
      </c>
      <c r="B27" s="4" t="s">
        <v>514</v>
      </c>
      <c r="C27" s="4" t="s">
        <v>515</v>
      </c>
      <c r="D27" s="4">
        <v>4749</v>
      </c>
      <c r="E27" s="4">
        <v>86</v>
      </c>
      <c r="F27" s="4">
        <v>87</v>
      </c>
      <c r="G27" s="4">
        <v>87</v>
      </c>
      <c r="H27" s="4">
        <v>86</v>
      </c>
      <c r="I27" s="4">
        <v>85</v>
      </c>
      <c r="J27" s="4">
        <v>85</v>
      </c>
      <c r="K27" s="4">
        <v>80</v>
      </c>
      <c r="L27" s="4">
        <v>75</v>
      </c>
      <c r="M27" s="4">
        <v>83</v>
      </c>
      <c r="N27" s="4">
        <v>84</v>
      </c>
      <c r="O27" s="5">
        <f t="shared" si="0"/>
        <v>83.8</v>
      </c>
      <c r="P27" s="4">
        <v>1</v>
      </c>
      <c r="Q27" s="4">
        <v>0</v>
      </c>
      <c r="R27" s="4">
        <v>0</v>
      </c>
      <c r="S27" s="13" t="s">
        <v>622</v>
      </c>
      <c r="T27" s="4" t="s">
        <v>60</v>
      </c>
      <c r="U27" s="4" t="s">
        <v>71</v>
      </c>
      <c r="V27" s="4"/>
      <c r="W27" s="4"/>
      <c r="X27" s="4"/>
      <c r="Y27" s="4"/>
      <c r="Z27" s="4"/>
      <c r="AA27" s="4"/>
      <c r="AB27" s="11"/>
      <c r="AC27" s="13" t="s">
        <v>624</v>
      </c>
    </row>
    <row r="28" spans="1:29" x14ac:dyDescent="0.35">
      <c r="A28" s="4">
        <v>20</v>
      </c>
      <c r="B28" s="4" t="s">
        <v>516</v>
      </c>
      <c r="C28" s="4" t="s">
        <v>517</v>
      </c>
      <c r="D28" s="4">
        <v>4755</v>
      </c>
      <c r="E28" s="4">
        <v>85</v>
      </c>
      <c r="F28" s="4">
        <v>81</v>
      </c>
      <c r="G28" s="4">
        <v>83</v>
      </c>
      <c r="H28" s="4">
        <v>80</v>
      </c>
      <c r="I28" s="4">
        <v>79</v>
      </c>
      <c r="J28" s="4">
        <v>80</v>
      </c>
      <c r="K28" s="4">
        <v>80</v>
      </c>
      <c r="L28" s="4">
        <v>85</v>
      </c>
      <c r="M28" s="4">
        <v>84</v>
      </c>
      <c r="N28" s="4">
        <v>79</v>
      </c>
      <c r="O28" s="5">
        <f t="shared" si="0"/>
        <v>81.599999999999994</v>
      </c>
      <c r="P28" s="4">
        <v>2</v>
      </c>
      <c r="Q28" s="4">
        <v>0</v>
      </c>
      <c r="R28" s="4">
        <v>0</v>
      </c>
      <c r="S28" s="13" t="s">
        <v>622</v>
      </c>
      <c r="T28" s="4" t="s">
        <v>71</v>
      </c>
      <c r="U28" s="4"/>
      <c r="V28" s="4"/>
      <c r="W28" s="4"/>
      <c r="X28" s="4"/>
      <c r="Y28" s="4"/>
      <c r="Z28" s="4"/>
      <c r="AA28" s="4"/>
      <c r="AB28" s="11"/>
      <c r="AC28" s="13" t="s">
        <v>624</v>
      </c>
    </row>
    <row r="29" spans="1:29" x14ac:dyDescent="0.35">
      <c r="A29" s="4">
        <v>21</v>
      </c>
      <c r="B29" s="4" t="s">
        <v>518</v>
      </c>
      <c r="C29" s="4" t="s">
        <v>519</v>
      </c>
      <c r="D29" s="4">
        <v>4767</v>
      </c>
      <c r="E29" s="4">
        <v>82</v>
      </c>
      <c r="F29" s="4">
        <v>81</v>
      </c>
      <c r="G29" s="4">
        <v>83</v>
      </c>
      <c r="H29" s="4">
        <v>82</v>
      </c>
      <c r="I29" s="4">
        <v>82</v>
      </c>
      <c r="J29" s="4">
        <v>84</v>
      </c>
      <c r="K29" s="4">
        <v>83</v>
      </c>
      <c r="L29" s="4">
        <v>82</v>
      </c>
      <c r="M29" s="4">
        <v>83</v>
      </c>
      <c r="N29" s="4">
        <v>83</v>
      </c>
      <c r="O29" s="5">
        <f t="shared" si="0"/>
        <v>82.5</v>
      </c>
      <c r="P29" s="4">
        <v>0</v>
      </c>
      <c r="Q29" s="4">
        <v>0</v>
      </c>
      <c r="R29" s="4">
        <v>0</v>
      </c>
      <c r="S29" s="13" t="s">
        <v>623</v>
      </c>
      <c r="T29" s="4" t="s">
        <v>71</v>
      </c>
      <c r="U29" s="4" t="s">
        <v>60</v>
      </c>
      <c r="V29" s="4" t="s">
        <v>71</v>
      </c>
      <c r="W29" s="4"/>
      <c r="X29" s="4"/>
      <c r="Y29" s="4"/>
      <c r="Z29" s="4"/>
      <c r="AA29" s="4" t="s">
        <v>71</v>
      </c>
      <c r="AB29" s="11"/>
      <c r="AC29" s="13" t="s">
        <v>626</v>
      </c>
    </row>
    <row r="30" spans="1:29" x14ac:dyDescent="0.35">
      <c r="A30" s="4">
        <v>22</v>
      </c>
      <c r="B30" s="4" t="s">
        <v>520</v>
      </c>
      <c r="C30" s="4" t="s">
        <v>521</v>
      </c>
      <c r="D30" s="4">
        <v>4771</v>
      </c>
      <c r="E30" s="4">
        <v>85</v>
      </c>
      <c r="F30" s="4">
        <v>81</v>
      </c>
      <c r="G30" s="4">
        <v>83</v>
      </c>
      <c r="H30" s="4">
        <v>80</v>
      </c>
      <c r="I30" s="4">
        <v>82</v>
      </c>
      <c r="J30" s="4">
        <v>84</v>
      </c>
      <c r="K30" s="4">
        <v>81</v>
      </c>
      <c r="L30" s="4">
        <v>86</v>
      </c>
      <c r="M30" s="4">
        <v>86</v>
      </c>
      <c r="N30" s="4">
        <v>83</v>
      </c>
      <c r="O30" s="5">
        <f t="shared" si="0"/>
        <v>83.1</v>
      </c>
      <c r="P30" s="4">
        <v>1</v>
      </c>
      <c r="Q30" s="4">
        <v>1</v>
      </c>
      <c r="R30" s="4">
        <v>1</v>
      </c>
      <c r="S30" s="13" t="s">
        <v>622</v>
      </c>
      <c r="T30" s="4" t="s">
        <v>71</v>
      </c>
      <c r="U30" s="4" t="s">
        <v>71</v>
      </c>
      <c r="V30" s="4"/>
      <c r="W30" s="4" t="s">
        <v>60</v>
      </c>
      <c r="X30" s="4"/>
      <c r="Y30" s="4"/>
      <c r="Z30" s="4"/>
      <c r="AA30" s="4"/>
      <c r="AB30" s="11"/>
      <c r="AC30" s="13" t="s">
        <v>626</v>
      </c>
    </row>
    <row r="31" spans="1:29" x14ac:dyDescent="0.35">
      <c r="A31" s="4">
        <v>23</v>
      </c>
      <c r="B31" s="4" t="s">
        <v>522</v>
      </c>
      <c r="C31" s="4" t="s">
        <v>523</v>
      </c>
      <c r="D31" s="4">
        <v>4780</v>
      </c>
      <c r="E31" s="4">
        <v>88</v>
      </c>
      <c r="F31" s="4">
        <v>85</v>
      </c>
      <c r="G31" s="4">
        <v>87</v>
      </c>
      <c r="H31" s="4">
        <v>86</v>
      </c>
      <c r="I31" s="4">
        <v>84</v>
      </c>
      <c r="J31" s="4">
        <v>85</v>
      </c>
      <c r="K31" s="4">
        <v>81</v>
      </c>
      <c r="L31" s="4">
        <v>86</v>
      </c>
      <c r="M31" s="4">
        <v>86</v>
      </c>
      <c r="N31" s="4">
        <v>85</v>
      </c>
      <c r="O31" s="5">
        <f t="shared" si="0"/>
        <v>85.3</v>
      </c>
      <c r="P31" s="4">
        <v>0</v>
      </c>
      <c r="Q31" s="4">
        <v>0</v>
      </c>
      <c r="R31" s="4">
        <v>0</v>
      </c>
      <c r="S31" s="13" t="s">
        <v>623</v>
      </c>
      <c r="T31" s="4" t="s">
        <v>71</v>
      </c>
      <c r="U31" s="4" t="s">
        <v>60</v>
      </c>
      <c r="V31" s="4"/>
      <c r="W31" s="4"/>
      <c r="X31" s="4" t="s">
        <v>71</v>
      </c>
      <c r="Y31" s="4"/>
      <c r="Z31" s="4"/>
      <c r="AA31" s="4"/>
      <c r="AB31" s="11"/>
      <c r="AC31" s="13" t="s">
        <v>626</v>
      </c>
    </row>
    <row r="32" spans="1:29" x14ac:dyDescent="0.35">
      <c r="A32" s="4">
        <v>24</v>
      </c>
      <c r="B32" s="4" t="s">
        <v>524</v>
      </c>
      <c r="C32" s="4" t="s">
        <v>525</v>
      </c>
      <c r="D32" s="4">
        <v>4792</v>
      </c>
      <c r="E32" s="4">
        <v>88</v>
      </c>
      <c r="F32" s="4">
        <v>85</v>
      </c>
      <c r="G32" s="4">
        <v>87</v>
      </c>
      <c r="H32" s="4">
        <v>85</v>
      </c>
      <c r="I32" s="4">
        <v>84</v>
      </c>
      <c r="J32" s="4">
        <v>84</v>
      </c>
      <c r="K32" s="4">
        <v>84</v>
      </c>
      <c r="L32" s="4">
        <v>86</v>
      </c>
      <c r="M32" s="4">
        <v>87</v>
      </c>
      <c r="N32" s="4">
        <v>84</v>
      </c>
      <c r="O32" s="5">
        <f t="shared" si="0"/>
        <v>85.4</v>
      </c>
      <c r="P32" s="4">
        <v>1</v>
      </c>
      <c r="Q32" s="4">
        <v>0</v>
      </c>
      <c r="R32" s="4">
        <v>0</v>
      </c>
      <c r="S32" s="13" t="s">
        <v>623</v>
      </c>
      <c r="T32" s="4" t="s">
        <v>71</v>
      </c>
      <c r="U32" s="4"/>
      <c r="V32" s="4"/>
      <c r="W32" s="4"/>
      <c r="X32" s="4"/>
      <c r="Y32" s="4"/>
      <c r="Z32" s="4"/>
      <c r="AA32" s="4"/>
      <c r="AB32" s="11"/>
      <c r="AC32" s="13" t="s">
        <v>624</v>
      </c>
    </row>
    <row r="33" spans="1:29" x14ac:dyDescent="0.35">
      <c r="A33" s="4">
        <v>25</v>
      </c>
      <c r="B33" s="4" t="s">
        <v>526</v>
      </c>
      <c r="C33" s="4" t="s">
        <v>527</v>
      </c>
      <c r="D33" s="4">
        <v>4798</v>
      </c>
      <c r="E33" s="4">
        <v>88</v>
      </c>
      <c r="F33" s="4">
        <v>80</v>
      </c>
      <c r="G33" s="4">
        <v>84</v>
      </c>
      <c r="H33" s="4">
        <v>84</v>
      </c>
      <c r="I33" s="4">
        <v>79</v>
      </c>
      <c r="J33" s="4">
        <v>84</v>
      </c>
      <c r="K33" s="4">
        <v>83</v>
      </c>
      <c r="L33" s="4">
        <v>86</v>
      </c>
      <c r="M33" s="4">
        <v>85</v>
      </c>
      <c r="N33" s="4">
        <v>82</v>
      </c>
      <c r="O33" s="5">
        <f t="shared" si="0"/>
        <v>83.5</v>
      </c>
      <c r="P33" s="4">
        <v>1</v>
      </c>
      <c r="Q33" s="4">
        <v>0</v>
      </c>
      <c r="R33" s="4">
        <v>1</v>
      </c>
      <c r="S33" s="13" t="s">
        <v>622</v>
      </c>
      <c r="T33" s="4" t="s">
        <v>71</v>
      </c>
      <c r="U33" s="4"/>
      <c r="V33" s="4"/>
      <c r="W33" s="4"/>
      <c r="X33" s="4"/>
      <c r="Y33" s="4"/>
      <c r="Z33" s="4"/>
      <c r="AA33" s="4"/>
      <c r="AB33" s="11"/>
      <c r="AC33" s="13" t="s">
        <v>624</v>
      </c>
    </row>
    <row r="34" spans="1:29" x14ac:dyDescent="0.35">
      <c r="A34" s="4">
        <v>26</v>
      </c>
      <c r="B34" s="4" t="s">
        <v>528</v>
      </c>
      <c r="C34" s="4" t="s">
        <v>529</v>
      </c>
      <c r="D34" s="4">
        <v>4810</v>
      </c>
      <c r="E34" s="4">
        <v>83</v>
      </c>
      <c r="F34" s="4">
        <v>79</v>
      </c>
      <c r="G34" s="4">
        <v>82</v>
      </c>
      <c r="H34" s="4">
        <v>80</v>
      </c>
      <c r="I34" s="4">
        <v>77</v>
      </c>
      <c r="J34" s="4">
        <v>79</v>
      </c>
      <c r="K34" s="4">
        <v>79</v>
      </c>
      <c r="L34" s="4">
        <v>84</v>
      </c>
      <c r="M34" s="4">
        <v>80</v>
      </c>
      <c r="N34" s="4">
        <v>78</v>
      </c>
      <c r="O34" s="5">
        <f t="shared" si="0"/>
        <v>80.099999999999994</v>
      </c>
      <c r="P34" s="4">
        <v>0</v>
      </c>
      <c r="Q34" s="4">
        <v>0</v>
      </c>
      <c r="R34" s="4">
        <v>0</v>
      </c>
      <c r="S34" s="13" t="s">
        <v>623</v>
      </c>
      <c r="T34" s="4" t="s">
        <v>71</v>
      </c>
      <c r="U34" s="4"/>
      <c r="V34" s="4"/>
      <c r="W34" s="4"/>
      <c r="X34" s="4"/>
      <c r="Y34" s="4"/>
      <c r="Z34" s="4"/>
      <c r="AA34" s="4"/>
      <c r="AB34" s="11"/>
      <c r="AC34" s="13" t="s">
        <v>624</v>
      </c>
    </row>
    <row r="35" spans="1:29" x14ac:dyDescent="0.35">
      <c r="A35" s="4">
        <v>27</v>
      </c>
      <c r="B35" s="4" t="s">
        <v>530</v>
      </c>
      <c r="C35" s="4" t="s">
        <v>531</v>
      </c>
      <c r="D35" s="4">
        <v>4786</v>
      </c>
      <c r="E35" s="4">
        <v>83</v>
      </c>
      <c r="F35" s="4">
        <v>80</v>
      </c>
      <c r="G35" s="4">
        <v>83</v>
      </c>
      <c r="H35" s="4">
        <v>80</v>
      </c>
      <c r="I35" s="4">
        <v>80</v>
      </c>
      <c r="J35" s="4">
        <v>84</v>
      </c>
      <c r="K35" s="4">
        <v>79</v>
      </c>
      <c r="L35" s="4">
        <v>80</v>
      </c>
      <c r="M35" s="4">
        <v>80</v>
      </c>
      <c r="N35" s="4">
        <v>79</v>
      </c>
      <c r="O35" s="5">
        <f t="shared" si="0"/>
        <v>80.8</v>
      </c>
      <c r="P35" s="4">
        <v>2</v>
      </c>
      <c r="Q35" s="4">
        <v>0</v>
      </c>
      <c r="R35" s="4">
        <v>0</v>
      </c>
      <c r="S35" s="13" t="s">
        <v>622</v>
      </c>
      <c r="T35" s="4" t="s">
        <v>71</v>
      </c>
      <c r="U35" s="4"/>
      <c r="V35" s="4"/>
      <c r="W35" s="4"/>
      <c r="X35" s="4"/>
      <c r="Y35" s="4"/>
      <c r="Z35" s="4"/>
      <c r="AA35" s="4"/>
      <c r="AB35" s="11"/>
      <c r="AC35" s="13" t="s">
        <v>624</v>
      </c>
    </row>
    <row r="36" spans="1:29" x14ac:dyDescent="0.35">
      <c r="A36" s="4">
        <v>28</v>
      </c>
      <c r="B36" s="4" t="s">
        <v>532</v>
      </c>
      <c r="C36" s="4" t="s">
        <v>533</v>
      </c>
      <c r="D36" s="4">
        <v>4814</v>
      </c>
      <c r="E36" s="4">
        <v>83</v>
      </c>
      <c r="F36" s="4">
        <v>83</v>
      </c>
      <c r="G36" s="4">
        <v>84</v>
      </c>
      <c r="H36" s="4">
        <v>80</v>
      </c>
      <c r="I36" s="4">
        <v>82</v>
      </c>
      <c r="J36" s="4">
        <v>85</v>
      </c>
      <c r="K36" s="4">
        <v>78</v>
      </c>
      <c r="L36" s="4">
        <v>80</v>
      </c>
      <c r="M36" s="4">
        <v>80</v>
      </c>
      <c r="N36" s="4">
        <v>79</v>
      </c>
      <c r="O36" s="5">
        <f t="shared" si="0"/>
        <v>81.400000000000006</v>
      </c>
      <c r="P36" s="4">
        <v>0</v>
      </c>
      <c r="Q36" s="4">
        <v>0</v>
      </c>
      <c r="R36" s="4">
        <v>0</v>
      </c>
      <c r="S36" s="13" t="s">
        <v>623</v>
      </c>
      <c r="T36" s="4" t="s">
        <v>71</v>
      </c>
      <c r="U36" s="4"/>
      <c r="V36" s="4"/>
      <c r="W36" s="4"/>
      <c r="X36" s="4"/>
      <c r="Y36" s="4"/>
      <c r="Z36" s="4"/>
      <c r="AA36" s="4"/>
      <c r="AB36" s="11"/>
      <c r="AC36" s="13" t="s">
        <v>624</v>
      </c>
    </row>
    <row r="37" spans="1:29" x14ac:dyDescent="0.35">
      <c r="A37" s="4">
        <v>29</v>
      </c>
      <c r="B37" s="4" t="s">
        <v>534</v>
      </c>
      <c r="C37" s="4" t="s">
        <v>535</v>
      </c>
      <c r="D37" s="4">
        <v>4827</v>
      </c>
      <c r="E37" s="4">
        <v>82</v>
      </c>
      <c r="F37" s="4">
        <v>78</v>
      </c>
      <c r="G37" s="4">
        <v>81</v>
      </c>
      <c r="H37" s="4">
        <v>78</v>
      </c>
      <c r="I37" s="4">
        <v>80</v>
      </c>
      <c r="J37" s="4">
        <v>79</v>
      </c>
      <c r="K37" s="4">
        <v>79</v>
      </c>
      <c r="L37" s="4">
        <v>80</v>
      </c>
      <c r="M37" s="4">
        <v>82</v>
      </c>
      <c r="N37" s="4">
        <v>78</v>
      </c>
      <c r="O37" s="5">
        <f t="shared" si="0"/>
        <v>79.7</v>
      </c>
      <c r="P37" s="4">
        <v>0</v>
      </c>
      <c r="Q37" s="4">
        <v>0</v>
      </c>
      <c r="R37" s="4">
        <v>1</v>
      </c>
      <c r="S37" s="13" t="s">
        <v>622</v>
      </c>
      <c r="T37" s="4" t="s">
        <v>71</v>
      </c>
      <c r="U37" s="4"/>
      <c r="V37" s="4"/>
      <c r="W37" s="4"/>
      <c r="X37" s="4"/>
      <c r="Y37" s="4"/>
      <c r="Z37" s="4"/>
      <c r="AA37" s="4"/>
      <c r="AB37" s="11"/>
      <c r="AC37" s="13" t="s">
        <v>624</v>
      </c>
    </row>
    <row r="38" spans="1:29" x14ac:dyDescent="0.35">
      <c r="A38" s="4">
        <v>30</v>
      </c>
      <c r="B38" s="4" t="s">
        <v>536</v>
      </c>
      <c r="C38" s="4" t="s">
        <v>537</v>
      </c>
      <c r="D38" s="4">
        <v>4836</v>
      </c>
      <c r="E38" s="4">
        <v>83</v>
      </c>
      <c r="F38" s="4">
        <v>82</v>
      </c>
      <c r="G38" s="4">
        <v>83</v>
      </c>
      <c r="H38" s="4">
        <v>83</v>
      </c>
      <c r="I38" s="4">
        <v>82</v>
      </c>
      <c r="J38" s="4">
        <v>84</v>
      </c>
      <c r="K38" s="4">
        <v>81</v>
      </c>
      <c r="L38" s="4">
        <v>80</v>
      </c>
      <c r="M38" s="4">
        <v>80</v>
      </c>
      <c r="N38" s="4">
        <v>80</v>
      </c>
      <c r="O38" s="5">
        <f t="shared" si="0"/>
        <v>81.8</v>
      </c>
      <c r="P38" s="4">
        <v>1</v>
      </c>
      <c r="Q38" s="4">
        <v>0</v>
      </c>
      <c r="R38" s="4">
        <v>0</v>
      </c>
      <c r="S38" s="13" t="s">
        <v>622</v>
      </c>
      <c r="T38" s="4" t="s">
        <v>71</v>
      </c>
      <c r="U38" s="4"/>
      <c r="V38" s="4"/>
      <c r="W38" s="4"/>
      <c r="X38" s="4"/>
      <c r="Y38" s="4"/>
      <c r="Z38" s="4"/>
      <c r="AA38" s="4"/>
      <c r="AB38" s="11"/>
      <c r="AC38" s="13" t="s">
        <v>624</v>
      </c>
    </row>
    <row r="39" spans="1:29" x14ac:dyDescent="0.35">
      <c r="A39" s="4">
        <v>31</v>
      </c>
      <c r="B39" s="4" t="s">
        <v>538</v>
      </c>
      <c r="C39" s="4" t="s">
        <v>539</v>
      </c>
      <c r="D39" s="4">
        <v>4844</v>
      </c>
      <c r="E39" s="4">
        <v>87</v>
      </c>
      <c r="F39" s="4">
        <v>87</v>
      </c>
      <c r="G39" s="4">
        <v>88</v>
      </c>
      <c r="H39" s="4">
        <v>87</v>
      </c>
      <c r="I39" s="4">
        <v>87</v>
      </c>
      <c r="J39" s="4">
        <v>85</v>
      </c>
      <c r="K39" s="4">
        <v>85</v>
      </c>
      <c r="L39" s="4">
        <v>80</v>
      </c>
      <c r="M39" s="4">
        <v>88</v>
      </c>
      <c r="N39" s="4">
        <v>85</v>
      </c>
      <c r="O39" s="5">
        <f t="shared" si="0"/>
        <v>85.9</v>
      </c>
      <c r="P39" s="4">
        <v>1</v>
      </c>
      <c r="Q39" s="4">
        <v>0</v>
      </c>
      <c r="R39" s="4">
        <v>0</v>
      </c>
      <c r="S39" s="13" t="s">
        <v>623</v>
      </c>
      <c r="T39" s="4" t="s">
        <v>71</v>
      </c>
      <c r="U39" s="4"/>
      <c r="V39" s="4"/>
      <c r="W39" s="4"/>
      <c r="X39" s="4" t="s">
        <v>71</v>
      </c>
      <c r="Y39" s="4" t="s">
        <v>60</v>
      </c>
      <c r="Z39" s="4"/>
      <c r="AA39" s="4"/>
      <c r="AB39" s="11"/>
      <c r="AC39" s="13" t="s">
        <v>628</v>
      </c>
    </row>
    <row r="40" spans="1:29" x14ac:dyDescent="0.35">
      <c r="A40" s="4">
        <v>32</v>
      </c>
      <c r="B40" s="4" t="s">
        <v>540</v>
      </c>
      <c r="C40" s="4" t="s">
        <v>541</v>
      </c>
      <c r="D40" s="4">
        <v>4850</v>
      </c>
      <c r="E40" s="4">
        <v>87</v>
      </c>
      <c r="F40" s="4">
        <v>85</v>
      </c>
      <c r="G40" s="4">
        <v>87</v>
      </c>
      <c r="H40" s="4">
        <v>85</v>
      </c>
      <c r="I40" s="4">
        <v>86</v>
      </c>
      <c r="J40" s="4">
        <v>85</v>
      </c>
      <c r="K40" s="4">
        <v>82</v>
      </c>
      <c r="L40" s="4">
        <v>82</v>
      </c>
      <c r="M40" s="4">
        <v>85</v>
      </c>
      <c r="N40" s="4">
        <v>80</v>
      </c>
      <c r="O40" s="5">
        <f t="shared" si="0"/>
        <v>84.4</v>
      </c>
      <c r="P40" s="4">
        <v>0</v>
      </c>
      <c r="Q40" s="4">
        <v>0</v>
      </c>
      <c r="R40" s="4">
        <v>0</v>
      </c>
      <c r="S40" s="13" t="s">
        <v>623</v>
      </c>
      <c r="T40" s="4" t="s">
        <v>71</v>
      </c>
      <c r="U40" s="4"/>
      <c r="V40" s="4"/>
      <c r="W40" s="4" t="s">
        <v>71</v>
      </c>
      <c r="X40" s="4"/>
      <c r="Y40" s="4"/>
      <c r="Z40" s="4"/>
      <c r="AA40" s="4"/>
      <c r="AB40" s="11"/>
      <c r="AC40" s="13" t="s">
        <v>626</v>
      </c>
    </row>
    <row r="41" spans="1:29" x14ac:dyDescent="0.35">
      <c r="A41" s="4">
        <v>33</v>
      </c>
      <c r="B41" s="4" t="s">
        <v>542</v>
      </c>
      <c r="C41" s="4" t="s">
        <v>543</v>
      </c>
      <c r="D41" s="4">
        <v>4861</v>
      </c>
      <c r="E41" s="4">
        <v>84</v>
      </c>
      <c r="F41" s="4">
        <v>85</v>
      </c>
      <c r="G41" s="4">
        <v>85</v>
      </c>
      <c r="H41" s="4">
        <v>84</v>
      </c>
      <c r="I41" s="4">
        <v>80</v>
      </c>
      <c r="J41" s="4">
        <v>85</v>
      </c>
      <c r="K41" s="4">
        <v>82</v>
      </c>
      <c r="L41" s="4">
        <v>83</v>
      </c>
      <c r="M41" s="4">
        <v>83</v>
      </c>
      <c r="N41" s="4">
        <v>84</v>
      </c>
      <c r="O41" s="5">
        <f t="shared" si="0"/>
        <v>83.5</v>
      </c>
      <c r="P41" s="4">
        <v>1</v>
      </c>
      <c r="Q41" s="4">
        <v>0</v>
      </c>
      <c r="R41" s="4">
        <v>0</v>
      </c>
      <c r="S41" s="13" t="s">
        <v>622</v>
      </c>
      <c r="T41" s="4" t="s">
        <v>71</v>
      </c>
      <c r="U41" s="4"/>
      <c r="V41" s="4" t="s">
        <v>71</v>
      </c>
      <c r="W41" s="4"/>
      <c r="X41" s="4"/>
      <c r="Y41" s="4"/>
      <c r="Z41" s="4"/>
      <c r="AA41" s="4"/>
      <c r="AB41" s="11"/>
      <c r="AC41" s="13" t="s">
        <v>626</v>
      </c>
    </row>
    <row r="42" spans="1:29" x14ac:dyDescent="0.35">
      <c r="A42" s="4">
        <v>34</v>
      </c>
      <c r="B42" s="4" t="s">
        <v>544</v>
      </c>
      <c r="C42" s="4" t="s">
        <v>545</v>
      </c>
      <c r="D42" s="4">
        <v>4867</v>
      </c>
      <c r="E42" s="4">
        <v>81</v>
      </c>
      <c r="F42" s="4">
        <v>77</v>
      </c>
      <c r="G42" s="4">
        <v>79</v>
      </c>
      <c r="H42" s="4">
        <v>78</v>
      </c>
      <c r="I42" s="4">
        <v>77</v>
      </c>
      <c r="J42" s="4">
        <v>82</v>
      </c>
      <c r="K42" s="4">
        <v>76</v>
      </c>
      <c r="L42" s="4">
        <v>76</v>
      </c>
      <c r="M42" s="4">
        <v>81</v>
      </c>
      <c r="N42" s="4">
        <v>78</v>
      </c>
      <c r="O42" s="5">
        <f t="shared" si="0"/>
        <v>78.5</v>
      </c>
      <c r="P42" s="4">
        <v>0</v>
      </c>
      <c r="Q42" s="4">
        <v>0</v>
      </c>
      <c r="R42" s="4">
        <v>5</v>
      </c>
      <c r="S42" s="13" t="s">
        <v>622</v>
      </c>
      <c r="T42" s="4" t="s">
        <v>71</v>
      </c>
      <c r="U42" s="4"/>
      <c r="V42" s="4"/>
      <c r="W42" s="4"/>
      <c r="X42" s="4"/>
      <c r="Y42" s="4"/>
      <c r="Z42" s="4"/>
      <c r="AA42" s="4"/>
      <c r="AB42" s="11"/>
      <c r="AC42" s="13" t="s">
        <v>626</v>
      </c>
    </row>
    <row r="43" spans="1:29" x14ac:dyDescent="0.35">
      <c r="A43" s="4">
        <v>35</v>
      </c>
      <c r="B43" s="4" t="s">
        <v>546</v>
      </c>
      <c r="C43" s="4" t="s">
        <v>547</v>
      </c>
      <c r="D43" s="4">
        <v>4871</v>
      </c>
      <c r="E43" s="4">
        <v>85</v>
      </c>
      <c r="F43" s="4">
        <v>85</v>
      </c>
      <c r="G43" s="4">
        <v>83</v>
      </c>
      <c r="H43" s="4">
        <v>84</v>
      </c>
      <c r="I43" s="4">
        <v>80</v>
      </c>
      <c r="J43" s="4">
        <v>84</v>
      </c>
      <c r="K43" s="4">
        <v>81</v>
      </c>
      <c r="L43" s="4">
        <v>85</v>
      </c>
      <c r="M43" s="4">
        <v>81</v>
      </c>
      <c r="N43" s="4">
        <v>80</v>
      </c>
      <c r="O43" s="5">
        <f t="shared" si="0"/>
        <v>82.8</v>
      </c>
      <c r="P43" s="4">
        <v>1</v>
      </c>
      <c r="Q43" s="4">
        <v>0</v>
      </c>
      <c r="R43" s="4">
        <v>0</v>
      </c>
      <c r="S43" s="13" t="s">
        <v>622</v>
      </c>
      <c r="T43" s="4" t="s">
        <v>71</v>
      </c>
      <c r="U43" s="4"/>
      <c r="V43" s="4"/>
      <c r="W43" s="4"/>
      <c r="X43" s="4"/>
      <c r="Y43" s="4"/>
      <c r="Z43" s="4"/>
      <c r="AA43" s="4"/>
      <c r="AB43" s="11"/>
      <c r="AC43" s="13" t="s">
        <v>624</v>
      </c>
    </row>
    <row r="44" spans="1:29" x14ac:dyDescent="0.35">
      <c r="S44" s="10"/>
    </row>
  </sheetData>
  <mergeCells count="28">
    <mergeCell ref="AC5:AC8"/>
    <mergeCell ref="V6:V8"/>
    <mergeCell ref="W6:W8"/>
    <mergeCell ref="X6:X8"/>
    <mergeCell ref="Y6:Y8"/>
    <mergeCell ref="T5:AB5"/>
    <mergeCell ref="Z6:Z8"/>
    <mergeCell ref="AA6:AA8"/>
    <mergeCell ref="AB6:AB8"/>
    <mergeCell ref="T6:T8"/>
    <mergeCell ref="U6:U8"/>
    <mergeCell ref="P5:R7"/>
    <mergeCell ref="E6:E8"/>
    <mergeCell ref="F6:F8"/>
    <mergeCell ref="G6:G8"/>
    <mergeCell ref="H6:H8"/>
    <mergeCell ref="I6:I8"/>
    <mergeCell ref="A5:A8"/>
    <mergeCell ref="B5:B8"/>
    <mergeCell ref="C5:C8"/>
    <mergeCell ref="D5:D8"/>
    <mergeCell ref="E5:O5"/>
    <mergeCell ref="N6:N8"/>
    <mergeCell ref="O6:O8"/>
    <mergeCell ref="J6:J8"/>
    <mergeCell ref="K6:K8"/>
    <mergeCell ref="L6:L8"/>
    <mergeCell ref="M6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Kelas X-1</vt:lpstr>
      <vt:lpstr>Keas X-2</vt:lpstr>
      <vt:lpstr>Kelas X-3</vt:lpstr>
      <vt:lpstr>Kelas X-4</vt:lpstr>
      <vt:lpstr>Kelas X-5</vt:lpstr>
      <vt:lpstr>Kelas X-6</vt:lpstr>
      <vt:lpstr>Kelas X-7</vt:lpstr>
      <vt:lpstr>Kelas X-8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 2023</cp:lastModifiedBy>
  <cp:lastPrinted>2025-06-20T06:16:49Z</cp:lastPrinted>
  <dcterms:created xsi:type="dcterms:W3CDTF">2025-06-20T03:44:21Z</dcterms:created>
  <dcterms:modified xsi:type="dcterms:W3CDTF">2026-01-20T07:33:29Z</dcterms:modified>
  <cp:category/>
</cp:coreProperties>
</file>