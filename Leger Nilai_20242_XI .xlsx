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2\new\"/>
    </mc:Choice>
  </mc:AlternateContent>
  <xr:revisionPtr revIDLastSave="0" documentId="13_ncr:1_{6D554A6A-5EBA-49BA-9CE4-0C65CA38EF5F}" xr6:coauthVersionLast="47" xr6:coauthVersionMax="47" xr10:uidLastSave="{00000000-0000-0000-0000-000000000000}"/>
  <bookViews>
    <workbookView xWindow="-110" yWindow="-110" windowWidth="19420" windowHeight="11500" firstSheet="3" activeTab="6" xr2:uid="{00000000-000D-0000-FFFF-FFFF00000000}"/>
  </bookViews>
  <sheets>
    <sheet name="Kelas XI_IPS_1" sheetId="1" r:id="rId1"/>
    <sheet name="Kelas XI_IPS_2" sheetId="5" r:id="rId2"/>
    <sheet name="Kelas XI_IPS_3" sheetId="4" r:id="rId3"/>
    <sheet name="Kelas XI_MIPA_1" sheetId="6" r:id="rId4"/>
    <sheet name="Kelas XI_MIPA_2" sheetId="7" r:id="rId5"/>
    <sheet name="Kelas XI_MIPA_3" sheetId="8" r:id="rId6"/>
    <sheet name="Kelas XI_MIPA_4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1" i="1" l="1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40" i="8" l="1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40" i="7" l="1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</calcChain>
</file>

<file path=xl/sharedStrings.xml><?xml version="1.0" encoding="utf-8"?>
<sst xmlns="http://schemas.openxmlformats.org/spreadsheetml/2006/main" count="1572" uniqueCount="551">
  <si>
    <t>LEGER NILAI RAPOR SISWA TAHUN PELAJARAN 2024/2025 GENAP</t>
  </si>
  <si>
    <t>SEKOLAH</t>
  </si>
  <si>
    <t>:  SMAN 1 UTAN</t>
  </si>
  <si>
    <t>Kelas</t>
  </si>
  <si>
    <t>NO</t>
  </si>
  <si>
    <t>NAMA SISWA</t>
  </si>
  <si>
    <t>NISN</t>
  </si>
  <si>
    <t>NIS</t>
  </si>
  <si>
    <t>MATA PELAJARAN</t>
  </si>
  <si>
    <t>Ketidakhadiran</t>
  </si>
  <si>
    <t>Ekstra Kurikuler</t>
  </si>
  <si>
    <t>PAI-BP</t>
  </si>
  <si>
    <t>PP</t>
  </si>
  <si>
    <t>B. Indo</t>
  </si>
  <si>
    <t>Mtk Umum</t>
  </si>
  <si>
    <t>B. Ingg</t>
  </si>
  <si>
    <t>PJOK</t>
  </si>
  <si>
    <t>Sej</t>
  </si>
  <si>
    <t>SBd</t>
  </si>
  <si>
    <t>Bio</t>
  </si>
  <si>
    <t>Kim</t>
  </si>
  <si>
    <t>Eko</t>
  </si>
  <si>
    <t>PRAMUKA</t>
  </si>
  <si>
    <t>OSN Ekonomi</t>
  </si>
  <si>
    <t>OSN Biologi</t>
  </si>
  <si>
    <t>Paduan Suara</t>
  </si>
  <si>
    <t>Kreasi dan Seni / FLS2N</t>
  </si>
  <si>
    <t>Pena SMAUT</t>
  </si>
  <si>
    <t>OSN Kimia</t>
  </si>
  <si>
    <t>Debat Bahasa Inggris</t>
  </si>
  <si>
    <t>Koperasi Siswa</t>
  </si>
  <si>
    <t>PIK-RR</t>
  </si>
  <si>
    <t>OSN Matematika</t>
  </si>
  <si>
    <t>Sakit</t>
  </si>
  <si>
    <t>Izin</t>
  </si>
  <si>
    <t>Alpa</t>
  </si>
  <si>
    <t>ADITIA DWI ANDIKA</t>
  </si>
  <si>
    <t>0073319223</t>
  </si>
  <si>
    <t>B</t>
  </si>
  <si>
    <t>Afrian Utanta</t>
  </si>
  <si>
    <t>0089470604</t>
  </si>
  <si>
    <t>ALBY AL-GHOZALY</t>
  </si>
  <si>
    <t>0073758764</t>
  </si>
  <si>
    <t>SB</t>
  </si>
  <si>
    <t>AMANDA</t>
  </si>
  <si>
    <t>0072177138</t>
  </si>
  <si>
    <t>ASTI MISARAH</t>
  </si>
  <si>
    <t>0076161615</t>
  </si>
  <si>
    <t>Aura Melinda Putri</t>
  </si>
  <si>
    <t>0089431352</t>
  </si>
  <si>
    <t>Damarkasih Syafitri</t>
  </si>
  <si>
    <t>0093799441</t>
  </si>
  <si>
    <t>DAVINA AS ZAHRA</t>
  </si>
  <si>
    <t>0081794914</t>
  </si>
  <si>
    <t>Diki</t>
  </si>
  <si>
    <t>0074410236</t>
  </si>
  <si>
    <t>ELSA ADEKAYANTI</t>
  </si>
  <si>
    <t>0074219931</t>
  </si>
  <si>
    <t>Ermawati</t>
  </si>
  <si>
    <t>0072670229</t>
  </si>
  <si>
    <t>FAUZAN WIRANATA</t>
  </si>
  <si>
    <t>0071165763</t>
  </si>
  <si>
    <t>Fika Adika Yanti</t>
  </si>
  <si>
    <t>0069953092</t>
  </si>
  <si>
    <t>Hernawati</t>
  </si>
  <si>
    <t>0083538636</t>
  </si>
  <si>
    <t>Indra Maulana</t>
  </si>
  <si>
    <t>0086908830</t>
  </si>
  <si>
    <t>JIHAN DINDASARI</t>
  </si>
  <si>
    <t>0088977175</t>
  </si>
  <si>
    <t>JUNAIDI</t>
  </si>
  <si>
    <t>0071747242</t>
  </si>
  <si>
    <t>Khusnul Mulyani</t>
  </si>
  <si>
    <t>0073763227</t>
  </si>
  <si>
    <t>Liana Fadila</t>
  </si>
  <si>
    <t>0085763917</t>
  </si>
  <si>
    <t>M. Fadil Rizkan</t>
  </si>
  <si>
    <t>0086176594</t>
  </si>
  <si>
    <t>MELANI PUTRI</t>
  </si>
  <si>
    <t>0081123467</t>
  </si>
  <si>
    <t>MUHAMMAD AZRIL</t>
  </si>
  <si>
    <t>0089369121</t>
  </si>
  <si>
    <t>Muhammad Fahrizal</t>
  </si>
  <si>
    <t>0089098322</t>
  </si>
  <si>
    <t>MULYATI</t>
  </si>
  <si>
    <t>0077365308</t>
  </si>
  <si>
    <t>Rahman Febrian Pratama</t>
  </si>
  <si>
    <t>0086893391</t>
  </si>
  <si>
    <t>Ririn Dwi Aryanti</t>
  </si>
  <si>
    <t>0079734014</t>
  </si>
  <si>
    <t>Rosa Amelia Margareta</t>
  </si>
  <si>
    <t>0074625985</t>
  </si>
  <si>
    <t>SALUNA SALSA BILA HERLANA</t>
  </si>
  <si>
    <t>0074352701</t>
  </si>
  <si>
    <t>SANY</t>
  </si>
  <si>
    <t>0086094381</t>
  </si>
  <si>
    <t>SASAKA HERMAWAN MAULANA</t>
  </si>
  <si>
    <t>0087847388</t>
  </si>
  <si>
    <t>Siti Nur Fadhilah</t>
  </si>
  <si>
    <t>0083455272</t>
  </si>
  <si>
    <t>SUPARDIANSYAH</t>
  </si>
  <si>
    <t>0086688697</t>
  </si>
  <si>
    <t>WULAN ANJANI</t>
  </si>
  <si>
    <t>0071793817</t>
  </si>
  <si>
    <t>Yulia Murniawati</t>
  </si>
  <si>
    <t>0076620865</t>
  </si>
  <si>
    <t>Rata-Rata</t>
  </si>
  <si>
    <t>PAH-BP</t>
  </si>
  <si>
    <t>AHMAD AKSAR FAHRI</t>
  </si>
  <si>
    <t>0082769679</t>
  </si>
  <si>
    <t>Aldiansyah Irawan</t>
  </si>
  <si>
    <t>0084899421</t>
  </si>
  <si>
    <t>ANDRE WIRAWINATA</t>
  </si>
  <si>
    <t>0077689849</t>
  </si>
  <si>
    <t>Ashyfa Junita Maulani</t>
  </si>
  <si>
    <t>0087994717</t>
  </si>
  <si>
    <t>BUNGA ARDIANTI</t>
  </si>
  <si>
    <t>0082403262</t>
  </si>
  <si>
    <t>Dika</t>
  </si>
  <si>
    <t>0077021806</t>
  </si>
  <si>
    <t>DIRA KHAIRUN NISSA</t>
  </si>
  <si>
    <t>0082551594</t>
  </si>
  <si>
    <t>EPELEN</t>
  </si>
  <si>
    <t>0076816298</t>
  </si>
  <si>
    <t>ERZA DWI MAGHFIRAH</t>
  </si>
  <si>
    <t>0086079965</t>
  </si>
  <si>
    <t>Fira Sapira</t>
  </si>
  <si>
    <t>0078082877</t>
  </si>
  <si>
    <t>FIRDA AFRIANI</t>
  </si>
  <si>
    <t>0087479055</t>
  </si>
  <si>
    <t>Hatisa Liana</t>
  </si>
  <si>
    <t>0072513137</t>
  </si>
  <si>
    <t>IMELYA</t>
  </si>
  <si>
    <t>0074781480</t>
  </si>
  <si>
    <t>INDRA PRATAMA</t>
  </si>
  <si>
    <t>0081248478</t>
  </si>
  <si>
    <t>IVAN FEBRIANSYAH</t>
  </si>
  <si>
    <t>0085129199</t>
  </si>
  <si>
    <t>JUTARO MANAYA AMEODA</t>
  </si>
  <si>
    <t>0074256867</t>
  </si>
  <si>
    <t>KOMANG JUNIARTA</t>
  </si>
  <si>
    <t>0086411734</t>
  </si>
  <si>
    <t>Marsanda</t>
  </si>
  <si>
    <t>0086737081</t>
  </si>
  <si>
    <t>Muhammad Novandy</t>
  </si>
  <si>
    <t>0072280655</t>
  </si>
  <si>
    <t>Muhammad Syahril</t>
  </si>
  <si>
    <t>0074468033</t>
  </si>
  <si>
    <t>Nengah Tika Susanti</t>
  </si>
  <si>
    <t>0084452345</t>
  </si>
  <si>
    <t>NURUL HIDAYANTI</t>
  </si>
  <si>
    <t>0083556008</t>
  </si>
  <si>
    <t>RANI ADE KANTARI</t>
  </si>
  <si>
    <t>0074398081</t>
  </si>
  <si>
    <t>Ria Amannia</t>
  </si>
  <si>
    <t>0079719957</t>
  </si>
  <si>
    <t>RIZKY JANUANSYAH</t>
  </si>
  <si>
    <t>0072668352</t>
  </si>
  <si>
    <t>SAPINA</t>
  </si>
  <si>
    <t>0085233639</t>
  </si>
  <si>
    <t>Sasmi Rianti Sakina Putri</t>
  </si>
  <si>
    <t>0076103857</t>
  </si>
  <si>
    <t>Siti Fathinah Tsabita</t>
  </si>
  <si>
    <t>0094831180</t>
  </si>
  <si>
    <t>Siti Inayah</t>
  </si>
  <si>
    <t>0089051707</t>
  </si>
  <si>
    <t>SRI WAHYUNI</t>
  </si>
  <si>
    <t>0079181965</t>
  </si>
  <si>
    <t>TZABITA MUMTASA</t>
  </si>
  <si>
    <t>0072052084</t>
  </si>
  <si>
    <t>Uzwar Fadila</t>
  </si>
  <si>
    <t>0071328731</t>
  </si>
  <si>
    <t>YOGI RADITIYA</t>
  </si>
  <si>
    <t>0072515698</t>
  </si>
  <si>
    <t>Junalistik / MADING</t>
  </si>
  <si>
    <t>Debat Bahasa Indonesia</t>
  </si>
  <si>
    <t>ROHIS</t>
  </si>
  <si>
    <t>Renang</t>
  </si>
  <si>
    <t>Bola Volly</t>
  </si>
  <si>
    <t>OSN Komputer</t>
  </si>
  <si>
    <t>Geo</t>
  </si>
  <si>
    <t>ADE PEBRIAN</t>
  </si>
  <si>
    <t>0088551971</t>
  </si>
  <si>
    <t>ALIYA HANUN MAHIRA</t>
  </si>
  <si>
    <t>0072090309</t>
  </si>
  <si>
    <t>ANDIKA SAPUTRA</t>
  </si>
  <si>
    <t>0073156319</t>
  </si>
  <si>
    <t>Andini Samula</t>
  </si>
  <si>
    <t>0079974766</t>
  </si>
  <si>
    <t>ANDRIANO</t>
  </si>
  <si>
    <t>0072506365</t>
  </si>
  <si>
    <t>ARGA AL FARIZI</t>
  </si>
  <si>
    <t>0072947560</t>
  </si>
  <si>
    <t>ARNY AULIA</t>
  </si>
  <si>
    <t>0091378317</t>
  </si>
  <si>
    <t>AYUNA MANTIKA AZ-ZAHRA</t>
  </si>
  <si>
    <t>0089373757</t>
  </si>
  <si>
    <t>AZIZAH</t>
  </si>
  <si>
    <t>0083343005</t>
  </si>
  <si>
    <t>CAYA KHAIRANI SATRIAWAN</t>
  </si>
  <si>
    <t>0079844915</t>
  </si>
  <si>
    <t>Chinta Gustiara</t>
  </si>
  <si>
    <t>0082615637</t>
  </si>
  <si>
    <t>Della Alfia</t>
  </si>
  <si>
    <t>0073459516</t>
  </si>
  <si>
    <t>DENNI ARDIANSYAH</t>
  </si>
  <si>
    <t>0081465880</t>
  </si>
  <si>
    <t>Diana Listari</t>
  </si>
  <si>
    <t>0075849039</t>
  </si>
  <si>
    <t>DWI ANGGRAINI</t>
  </si>
  <si>
    <t>0088835871</t>
  </si>
  <si>
    <t>ELZY CAHAYA PUSPITA ULANDARI</t>
  </si>
  <si>
    <t>0081148100</t>
  </si>
  <si>
    <t>Fatmawati</t>
  </si>
  <si>
    <t>0084038306</t>
  </si>
  <si>
    <t>Fitri Handayani</t>
  </si>
  <si>
    <t>0078255180</t>
  </si>
  <si>
    <t>FITRI SUCI HAYATI</t>
  </si>
  <si>
    <t>0076295077</t>
  </si>
  <si>
    <t>JULIA</t>
  </si>
  <si>
    <t>3077629744</t>
  </si>
  <si>
    <t>Kasiani Sinta Bella</t>
  </si>
  <si>
    <t>0086474536</t>
  </si>
  <si>
    <t>Ketut Sudiatny</t>
  </si>
  <si>
    <t>0071471510</t>
  </si>
  <si>
    <t>M. ADITYA AFRIANSYAH</t>
  </si>
  <si>
    <t>0087096222</t>
  </si>
  <si>
    <t>MUHAMMAD BAYU RAMDHANI</t>
  </si>
  <si>
    <t>0074834676</t>
  </si>
  <si>
    <t>MUSYAROFATUN NISA</t>
  </si>
  <si>
    <t>0081651206</t>
  </si>
  <si>
    <t>NIA FARIDA IKHWANA</t>
  </si>
  <si>
    <t>0088478999</t>
  </si>
  <si>
    <t>NILA DITUL HIDAYAH</t>
  </si>
  <si>
    <t>0094530021</t>
  </si>
  <si>
    <t>Nyoman Sutra Yustira</t>
  </si>
  <si>
    <t>0082081778</t>
  </si>
  <si>
    <t>Pramono Aulia Putra</t>
  </si>
  <si>
    <t>0085292845</t>
  </si>
  <si>
    <t>Rifqi Akbar Pratama</t>
  </si>
  <si>
    <t>0082777255</t>
  </si>
  <si>
    <t>Rio Adendra</t>
  </si>
  <si>
    <t>0075821458</t>
  </si>
  <si>
    <t>RIZKI SAFIRA JULIANA</t>
  </si>
  <si>
    <t>0085665780</t>
  </si>
  <si>
    <t>SEFTIA RAMADANI</t>
  </si>
  <si>
    <t>0083474410</t>
  </si>
  <si>
    <t>SRI MAHARANI</t>
  </si>
  <si>
    <t>0081340621</t>
  </si>
  <si>
    <t>SUCI ROSALIMAH</t>
  </si>
  <si>
    <t>0084872083</t>
  </si>
  <si>
    <t>Sos</t>
  </si>
  <si>
    <t>AFRIZAL ADE PUTRA</t>
  </si>
  <si>
    <t>ALISA LESTARI</t>
  </si>
  <si>
    <t>Andika Kurniawan</t>
  </si>
  <si>
    <t>Andika Pratama</t>
  </si>
  <si>
    <t>Andri Firmansyah</t>
  </si>
  <si>
    <t>APRIANTO</t>
  </si>
  <si>
    <t>AULYA AYUNDA SATIRA</t>
  </si>
  <si>
    <t>AYU LESTARI</t>
  </si>
  <si>
    <t>Bagas Firmansyah</t>
  </si>
  <si>
    <t>BUNGA HARUMDANI</t>
  </si>
  <si>
    <t>BUNGA PERMATA SARI</t>
  </si>
  <si>
    <t>DIAH RAHMANIA</t>
  </si>
  <si>
    <t>Dinda junita</t>
  </si>
  <si>
    <t>Elsa Raihana</t>
  </si>
  <si>
    <t>Erma Sulviana</t>
  </si>
  <si>
    <t>FEBRI IRAWAN</t>
  </si>
  <si>
    <t>FITRIANI</t>
  </si>
  <si>
    <t>GHINA AZALIA</t>
  </si>
  <si>
    <t>Irma Damayanti</t>
  </si>
  <si>
    <t>ISMARANI</t>
  </si>
  <si>
    <t>Julia</t>
  </si>
  <si>
    <t>Khofipa pebri rusanti</t>
  </si>
  <si>
    <t>L. Rahmat Ardani</t>
  </si>
  <si>
    <t>Mar'atun Kamila</t>
  </si>
  <si>
    <t>Muhammad Ali Hanafi</t>
  </si>
  <si>
    <t>Muhammad Rizki Aprizal</t>
  </si>
  <si>
    <t>NABILA MADANIA</t>
  </si>
  <si>
    <t>NIKKO ANDRA SAPUTRA</t>
  </si>
  <si>
    <t>Nurlely Herlina</t>
  </si>
  <si>
    <t>RIAN JULISTIANTO</t>
  </si>
  <si>
    <t>Rizki Aditiya</t>
  </si>
  <si>
    <t>Safira Laura</t>
  </si>
  <si>
    <t>Septriani</t>
  </si>
  <si>
    <t>SULISTIAWATI</t>
  </si>
  <si>
    <t>ZAHRA MAINI SYARAYA</t>
  </si>
  <si>
    <t>0071992562</t>
  </si>
  <si>
    <t>0079124174</t>
  </si>
  <si>
    <t>0086843735</t>
  </si>
  <si>
    <t>0082580169</t>
  </si>
  <si>
    <t>0072571986</t>
  </si>
  <si>
    <t>0087505828</t>
  </si>
  <si>
    <t>0089728959</t>
  </si>
  <si>
    <t>0089843807</t>
  </si>
  <si>
    <t>0078101299</t>
  </si>
  <si>
    <t>0081221903</t>
  </si>
  <si>
    <t>0071584120</t>
  </si>
  <si>
    <t>0085505865</t>
  </si>
  <si>
    <t>0083643224</t>
  </si>
  <si>
    <t>0084983222</t>
  </si>
  <si>
    <t>0074229238</t>
  </si>
  <si>
    <t>0084726831</t>
  </si>
  <si>
    <t>0082711366</t>
  </si>
  <si>
    <t>0087494973</t>
  </si>
  <si>
    <t>0081956394</t>
  </si>
  <si>
    <t>0085261023</t>
  </si>
  <si>
    <t>0081679443</t>
  </si>
  <si>
    <t>0084889576</t>
  </si>
  <si>
    <t>0079968554</t>
  </si>
  <si>
    <t>0083272851</t>
  </si>
  <si>
    <t>0072083042</t>
  </si>
  <si>
    <t>0075649499</t>
  </si>
  <si>
    <t>0086534962</t>
  </si>
  <si>
    <t>0085997175</t>
  </si>
  <si>
    <t>0088651640</t>
  </si>
  <si>
    <t>3079326881</t>
  </si>
  <si>
    <t>0073000091</t>
  </si>
  <si>
    <t>0089218048</t>
  </si>
  <si>
    <t>0085052898</t>
  </si>
  <si>
    <t>0084886578</t>
  </si>
  <si>
    <t>0085587863</t>
  </si>
  <si>
    <t>ADAM HIDAYAT</t>
  </si>
  <si>
    <t>0081851274</t>
  </si>
  <si>
    <t>Adit Saputra</t>
  </si>
  <si>
    <t>0087963480</t>
  </si>
  <si>
    <t>AMISYA</t>
  </si>
  <si>
    <t>0076922728</t>
  </si>
  <si>
    <t>0076692210</t>
  </si>
  <si>
    <t>Anugera Selvi Ramadani</t>
  </si>
  <si>
    <t>0083201929</t>
  </si>
  <si>
    <t>CELINE LAORA YUDINI</t>
  </si>
  <si>
    <t>0087842635</t>
  </si>
  <si>
    <t>Clara</t>
  </si>
  <si>
    <t>0073536371</t>
  </si>
  <si>
    <t>DIMAS SAPUTRA</t>
  </si>
  <si>
    <t>0086253078</t>
  </si>
  <si>
    <t>ERY KOMALA</t>
  </si>
  <si>
    <t>0082039902</t>
  </si>
  <si>
    <t>I KETUT ROMI ANDIAWAN</t>
  </si>
  <si>
    <t>0085977674</t>
  </si>
  <si>
    <t>IDA NURJANNAH</t>
  </si>
  <si>
    <t>0071650675</t>
  </si>
  <si>
    <t>JELITA</t>
  </si>
  <si>
    <t>0082089698</t>
  </si>
  <si>
    <t>Jorgi Andika Putra</t>
  </si>
  <si>
    <t>0076200784</t>
  </si>
  <si>
    <t>KADEK DWI ARIYANI</t>
  </si>
  <si>
    <t>0079680972</t>
  </si>
  <si>
    <t>LULA AFIKA</t>
  </si>
  <si>
    <t>0086745060</t>
  </si>
  <si>
    <t>M. Tamrin</t>
  </si>
  <si>
    <t>0087758053</t>
  </si>
  <si>
    <t>M.FITRA SAWAL</t>
  </si>
  <si>
    <t>0075566683</t>
  </si>
  <si>
    <t>Muhammad Rizki Sabilillah</t>
  </si>
  <si>
    <t>0079974675</t>
  </si>
  <si>
    <t>Nana Herlina</t>
  </si>
  <si>
    <t>0086532536</t>
  </si>
  <si>
    <t>NI KOMANG DEWI MELANI</t>
  </si>
  <si>
    <t>0072549091</t>
  </si>
  <si>
    <t>NI PUTU ASRINI</t>
  </si>
  <si>
    <t>0086140512</t>
  </si>
  <si>
    <t>NUR SHUHADA</t>
  </si>
  <si>
    <t>0088409565</t>
  </si>
  <si>
    <t>Nurul Ramadani</t>
  </si>
  <si>
    <t>0071289474</t>
  </si>
  <si>
    <t>RAMDANI</t>
  </si>
  <si>
    <t>0079483336</t>
  </si>
  <si>
    <t>RANDA RAMDHANI</t>
  </si>
  <si>
    <t>0072082267</t>
  </si>
  <si>
    <t>RANDI IRWANSYAH</t>
  </si>
  <si>
    <t>0071029233</t>
  </si>
  <si>
    <t>RAYAN ARDIANSYAH</t>
  </si>
  <si>
    <t>0084729313</t>
  </si>
  <si>
    <t>RISKA</t>
  </si>
  <si>
    <t>0012469337</t>
  </si>
  <si>
    <t>Safira Dwi apriliyah</t>
  </si>
  <si>
    <t>0087528466</t>
  </si>
  <si>
    <t>SOVIA</t>
  </si>
  <si>
    <t>0081730371</t>
  </si>
  <si>
    <t>Sya'bul fajri</t>
  </si>
  <si>
    <t>0084018566</t>
  </si>
  <si>
    <t>Titin Febriyanti</t>
  </si>
  <si>
    <t>0087064868</t>
  </si>
  <si>
    <t>ULVA RIYANTI</t>
  </si>
  <si>
    <t>0083208533</t>
  </si>
  <si>
    <t>Fis</t>
  </si>
  <si>
    <t>OSN Fisika</t>
  </si>
  <si>
    <t>Pencak Silat</t>
  </si>
  <si>
    <t>ADRIAN AFRIANSYAH</t>
  </si>
  <si>
    <t>0087930572</t>
  </si>
  <si>
    <t>AGUS</t>
  </si>
  <si>
    <t>0044951385</t>
  </si>
  <si>
    <t>AHMAD RASYA</t>
  </si>
  <si>
    <t>0073092856</t>
  </si>
  <si>
    <t>Aldi Falen Febrian</t>
  </si>
  <si>
    <t>0083386996</t>
  </si>
  <si>
    <t>ANDHIKA SYAPUTRA</t>
  </si>
  <si>
    <t>0087169673</t>
  </si>
  <si>
    <t>0076236413</t>
  </si>
  <si>
    <t>ANISYA</t>
  </si>
  <si>
    <t>0073111703</t>
  </si>
  <si>
    <t>Arfan Awwab Maulana Syekh</t>
  </si>
  <si>
    <t>0075361890</t>
  </si>
  <si>
    <t>0089045957</t>
  </si>
  <si>
    <t>Chelza Julian</t>
  </si>
  <si>
    <t>0082118876</t>
  </si>
  <si>
    <t>DANU SATRIO</t>
  </si>
  <si>
    <t>0084056639</t>
  </si>
  <si>
    <t>DINDA ADELIA</t>
  </si>
  <si>
    <t>0084517882</t>
  </si>
  <si>
    <t>Fariz Al Farizi</t>
  </si>
  <si>
    <t>0083343867</t>
  </si>
  <si>
    <t>Ikhsan Gemala Putra</t>
  </si>
  <si>
    <t>0084899415</t>
  </si>
  <si>
    <t>JODI PUTRA IRAWANSYAH</t>
  </si>
  <si>
    <t>0079691851</t>
  </si>
  <si>
    <t>Ketut Fitrianti</t>
  </si>
  <si>
    <t>0074514882</t>
  </si>
  <si>
    <t>M Alif Alfansyah</t>
  </si>
  <si>
    <t>3085654829</t>
  </si>
  <si>
    <t>M Zhori Yudhis Pratama</t>
  </si>
  <si>
    <t>0099061154</t>
  </si>
  <si>
    <t>M. HANDIKA SAPUTRA</t>
  </si>
  <si>
    <t>0086014745</t>
  </si>
  <si>
    <t>Melisa</t>
  </si>
  <si>
    <t>0084413001</t>
  </si>
  <si>
    <t>Mimi Hardika Yanti</t>
  </si>
  <si>
    <t>0085417161</t>
  </si>
  <si>
    <t>NADILUL IKMANI</t>
  </si>
  <si>
    <t>0088776146</t>
  </si>
  <si>
    <t>NASA FEBRINA</t>
  </si>
  <si>
    <t>0098932669</t>
  </si>
  <si>
    <t>Novi Vitria Ningsi</t>
  </si>
  <si>
    <t>0074053813</t>
  </si>
  <si>
    <t>Putri Nirmalasari</t>
  </si>
  <si>
    <t>0078066526</t>
  </si>
  <si>
    <t>Rana Jinan Sausan</t>
  </si>
  <si>
    <t>0087422212</t>
  </si>
  <si>
    <t>RARA OKTAVIANI</t>
  </si>
  <si>
    <t>0079237692</t>
  </si>
  <si>
    <t>Riska Juniari Sabrudin</t>
  </si>
  <si>
    <t>0083022865</t>
  </si>
  <si>
    <t>SARI SAPUTRI</t>
  </si>
  <si>
    <t>0072558845</t>
  </si>
  <si>
    <t>SIGIT ADITYA FIRMANSYAH</t>
  </si>
  <si>
    <t>0086266119</t>
  </si>
  <si>
    <t>Susanti</t>
  </si>
  <si>
    <t>0076769296</t>
  </si>
  <si>
    <t>TRI NURHAZISYAH</t>
  </si>
  <si>
    <t>0084810333</t>
  </si>
  <si>
    <t>Yakuttunnafis Ramadani</t>
  </si>
  <si>
    <t>0079385036</t>
  </si>
  <si>
    <t>ABIT ALFARI ZANDY</t>
  </si>
  <si>
    <t>0085989229</t>
  </si>
  <si>
    <t>Adika Pratama</t>
  </si>
  <si>
    <t>0078708209</t>
  </si>
  <si>
    <t>AFREZI ARDA AESYANI</t>
  </si>
  <si>
    <t>0085514810</t>
  </si>
  <si>
    <t>Agus Kurniawan</t>
  </si>
  <si>
    <t>0078923514</t>
  </si>
  <si>
    <t>ANNAS FAUZI</t>
  </si>
  <si>
    <t>0087632968</t>
  </si>
  <si>
    <t>Arul Iktani</t>
  </si>
  <si>
    <t>0071982154</t>
  </si>
  <si>
    <t>BQ. Windi Esmawardalin</t>
  </si>
  <si>
    <t>0082050269</t>
  </si>
  <si>
    <t>Desti Lyanah</t>
  </si>
  <si>
    <t>0071497846</t>
  </si>
  <si>
    <t>Dyva Arijuniva Triananta</t>
  </si>
  <si>
    <t>0084412545</t>
  </si>
  <si>
    <t>Eliana Karisma</t>
  </si>
  <si>
    <t>0084399506</t>
  </si>
  <si>
    <t>FITRA ANANTA</t>
  </si>
  <si>
    <t>0085224742</t>
  </si>
  <si>
    <t>HAIKAL</t>
  </si>
  <si>
    <t>0075704129</t>
  </si>
  <si>
    <t>Ifdhal Fathan Hamzah</t>
  </si>
  <si>
    <t>0089223503</t>
  </si>
  <si>
    <t>IKSAN JAYA</t>
  </si>
  <si>
    <t>0089675316</t>
  </si>
  <si>
    <t>Ilham Haqiqi</t>
  </si>
  <si>
    <t>0079082876</t>
  </si>
  <si>
    <t>IWAN SAPUTRA</t>
  </si>
  <si>
    <t>0067629418</t>
  </si>
  <si>
    <t>IZMI ZULFIANI</t>
  </si>
  <si>
    <t>0079027085</t>
  </si>
  <si>
    <t>kadek yunianti</t>
  </si>
  <si>
    <t>0079919396</t>
  </si>
  <si>
    <t>M Qomarul Huda</t>
  </si>
  <si>
    <t>0085004626</t>
  </si>
  <si>
    <t>M. FAREL RUSTIAWAN AKBAR</t>
  </si>
  <si>
    <t>0083954351</t>
  </si>
  <si>
    <t>MEGAWATI</t>
  </si>
  <si>
    <t>0087123435</t>
  </si>
  <si>
    <t>Mely Julianti</t>
  </si>
  <si>
    <t>0075633182</t>
  </si>
  <si>
    <t>NADIN</t>
  </si>
  <si>
    <t>0089593245</t>
  </si>
  <si>
    <t>Nauval Aqila Kadafi</t>
  </si>
  <si>
    <t>0089025189</t>
  </si>
  <si>
    <t>NURAINI</t>
  </si>
  <si>
    <t>0075946763</t>
  </si>
  <si>
    <t>RASTI</t>
  </si>
  <si>
    <t>0088134644</t>
  </si>
  <si>
    <t>RIRIN AFRIANI</t>
  </si>
  <si>
    <t>0087371887</t>
  </si>
  <si>
    <t>RIZKULLAH RAFI AKBAR</t>
  </si>
  <si>
    <t>0067555546</t>
  </si>
  <si>
    <t>Selmi Yunita</t>
  </si>
  <si>
    <t>0087051831</t>
  </si>
  <si>
    <t>SISKA ANGGRAINI</t>
  </si>
  <si>
    <t>0087300497</t>
  </si>
  <si>
    <t>Siti Nurul Hidayah</t>
  </si>
  <si>
    <t>0075369398</t>
  </si>
  <si>
    <t>Tiara Andriani</t>
  </si>
  <si>
    <t>0083825906</t>
  </si>
  <si>
    <t>TRISA HANDAYANI</t>
  </si>
  <si>
    <t>0078333741</t>
  </si>
  <si>
    <t>VEFYTA KIRANA</t>
  </si>
  <si>
    <t>0078234292</t>
  </si>
  <si>
    <t>Sikap</t>
  </si>
  <si>
    <t>Sej Indo</t>
  </si>
  <si>
    <t>PKWU</t>
  </si>
  <si>
    <t>Rata-rata</t>
  </si>
  <si>
    <t>Sej ndo</t>
  </si>
  <si>
    <t>PkWU</t>
  </si>
  <si>
    <t>Mtk Pem</t>
  </si>
  <si>
    <t>SBD</t>
  </si>
  <si>
    <t>:  XI-IPS1</t>
  </si>
  <si>
    <t>:  XI-IPS2</t>
  </si>
  <si>
    <t>:  XI-IPS3</t>
  </si>
  <si>
    <t>:  XI-MIPA1</t>
  </si>
  <si>
    <t>:  XI-MIPA2</t>
  </si>
  <si>
    <t>:  XI-MIPA3</t>
  </si>
  <si>
    <t>:  XI-MIPA4</t>
  </si>
  <si>
    <t>Baik</t>
  </si>
  <si>
    <t>Sangat Baik</t>
  </si>
  <si>
    <t>baik</t>
  </si>
  <si>
    <t>Jumlah Piagam</t>
  </si>
  <si>
    <t xml:space="preserve"> Sangat Baik</t>
  </si>
  <si>
    <t>3 Piagam</t>
  </si>
  <si>
    <t>1 Piagam</t>
  </si>
  <si>
    <t>2 Piagam</t>
  </si>
  <si>
    <t>0 Piagam</t>
  </si>
  <si>
    <t>4 Piagam</t>
  </si>
  <si>
    <t xml:space="preserve"> 1 Piagam</t>
  </si>
  <si>
    <t>Kurang Baik</t>
  </si>
  <si>
    <t>Baikk</t>
  </si>
  <si>
    <t>Kurang Baikk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</si>
</sst>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DEA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3" borderId="14" xfId="0" applyFill="1" applyBorder="1" applyAlignment="1">
      <alignment vertical="top" wrapText="1"/>
    </xf>
    <xf numFmtId="0" fontId="0" fillId="5" borderId="0" xfId="0" applyFill="1"/>
    <xf numFmtId="0" fontId="0" fillId="3" borderId="2" xfId="0" applyFill="1" applyBorder="1" applyAlignment="1">
      <alignment vertical="top" wrapText="1"/>
    </xf>
    <xf numFmtId="0" fontId="0" fillId="3" borderId="18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2" fontId="0" fillId="0" borderId="0" xfId="0" applyNumberFormat="1"/>
    <xf numFmtId="0" fontId="0" fillId="5" borderId="16" xfId="0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 wrapText="1"/>
    </xf>
    <xf numFmtId="0" fontId="5" fillId="5" borderId="16" xfId="0" applyFont="1" applyFill="1" applyBorder="1" applyAlignment="1">
      <alignment horizontal="center" vertical="top"/>
    </xf>
    <xf numFmtId="0" fontId="0" fillId="5" borderId="16" xfId="0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2"/>
  <sheetViews>
    <sheetView topLeftCell="A3" zoomScale="57" zoomScaleNormal="55" workbookViewId="0">
      <selection activeCell="AL3" sqref="AL3"/>
    </sheetView>
  </sheetViews>
  <sheetFormatPr defaultRowHeight="14.5" x14ac:dyDescent="0.35"/>
  <cols>
    <col min="1" max="1" width="4" customWidth="1"/>
    <col min="2" max="2" width="29.7265625" bestFit="1" customWidth="1"/>
    <col min="3" max="3" width="11.81640625" customWidth="1"/>
    <col min="4" max="4" width="7.08984375" customWidth="1"/>
    <col min="5" max="6" width="5" customWidth="1"/>
    <col min="7" max="7" width="5.1796875" customWidth="1"/>
    <col min="8" max="18" width="5" customWidth="1"/>
    <col min="19" max="19" width="6.90625" customWidth="1"/>
    <col min="20" max="22" width="5" customWidth="1"/>
    <col min="23" max="23" width="14.08984375" customWidth="1"/>
    <col min="24" max="34" width="5" customWidth="1"/>
    <col min="35" max="35" width="14.81640625" customWidth="1"/>
  </cols>
  <sheetData>
    <row r="1" spans="1:37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7" x14ac:dyDescent="0.35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7" x14ac:dyDescent="0.35">
      <c r="A3" s="2" t="s">
        <v>3</v>
      </c>
      <c r="B3" s="2"/>
      <c r="C3" s="2" t="s">
        <v>530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7" ht="14.5" customHeight="1" x14ac:dyDescent="0.35">
      <c r="A4" s="24" t="s">
        <v>4</v>
      </c>
      <c r="B4" s="24" t="s">
        <v>5</v>
      </c>
      <c r="C4" s="27" t="s">
        <v>6</v>
      </c>
      <c r="D4" s="29" t="s">
        <v>7</v>
      </c>
      <c r="E4" s="6"/>
      <c r="F4" s="24" t="s">
        <v>8</v>
      </c>
      <c r="G4" s="24"/>
      <c r="H4" s="24"/>
      <c r="I4" s="24"/>
      <c r="J4" s="24"/>
      <c r="K4" s="25"/>
      <c r="L4" s="24"/>
      <c r="M4" s="24"/>
      <c r="N4" s="24"/>
      <c r="O4" s="24"/>
      <c r="P4" s="24"/>
      <c r="Q4" s="24"/>
      <c r="R4" s="24"/>
      <c r="S4" s="25" t="s">
        <v>525</v>
      </c>
      <c r="T4" s="32" t="s">
        <v>9</v>
      </c>
      <c r="U4" s="33"/>
      <c r="V4" s="34"/>
      <c r="W4" s="25" t="s">
        <v>522</v>
      </c>
      <c r="X4" s="24" t="s">
        <v>10</v>
      </c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5" t="s">
        <v>540</v>
      </c>
    </row>
    <row r="5" spans="1:37" x14ac:dyDescent="0.35">
      <c r="A5" s="24"/>
      <c r="B5" s="24"/>
      <c r="C5" s="27"/>
      <c r="D5" s="29"/>
      <c r="E5" s="31" t="s">
        <v>11</v>
      </c>
      <c r="F5" s="31" t="s">
        <v>107</v>
      </c>
      <c r="G5" s="25" t="s">
        <v>12</v>
      </c>
      <c r="H5" s="24" t="s">
        <v>13</v>
      </c>
      <c r="I5" s="24" t="s">
        <v>14</v>
      </c>
      <c r="J5" s="27" t="s">
        <v>15</v>
      </c>
      <c r="K5" s="41" t="s">
        <v>523</v>
      </c>
      <c r="L5" s="30" t="s">
        <v>16</v>
      </c>
      <c r="M5" s="24" t="s">
        <v>524</v>
      </c>
      <c r="N5" s="24" t="s">
        <v>529</v>
      </c>
      <c r="O5" s="25" t="s">
        <v>17</v>
      </c>
      <c r="P5" s="24" t="s">
        <v>180</v>
      </c>
      <c r="Q5" s="24" t="s">
        <v>251</v>
      </c>
      <c r="R5" s="24" t="s">
        <v>21</v>
      </c>
      <c r="S5" s="26"/>
      <c r="T5" s="35"/>
      <c r="U5" s="36"/>
      <c r="V5" s="37"/>
      <c r="W5" s="26"/>
      <c r="X5" s="24" t="s">
        <v>22</v>
      </c>
      <c r="Y5" s="24" t="s">
        <v>23</v>
      </c>
      <c r="Z5" s="24" t="s">
        <v>24</v>
      </c>
      <c r="AA5" s="24" t="s">
        <v>25</v>
      </c>
      <c r="AB5" s="24" t="s">
        <v>26</v>
      </c>
      <c r="AC5" s="24" t="s">
        <v>27</v>
      </c>
      <c r="AD5" s="24" t="s">
        <v>28</v>
      </c>
      <c r="AE5" s="24" t="s">
        <v>29</v>
      </c>
      <c r="AF5" s="24" t="s">
        <v>30</v>
      </c>
      <c r="AG5" s="24" t="s">
        <v>31</v>
      </c>
      <c r="AH5" s="24" t="s">
        <v>32</v>
      </c>
      <c r="AI5" s="26"/>
    </row>
    <row r="6" spans="1:37" x14ac:dyDescent="0.35">
      <c r="A6" s="24"/>
      <c r="B6" s="24"/>
      <c r="C6" s="27"/>
      <c r="D6" s="29"/>
      <c r="E6" s="31"/>
      <c r="F6" s="31"/>
      <c r="G6" s="26"/>
      <c r="H6" s="24"/>
      <c r="I6" s="24"/>
      <c r="J6" s="27"/>
      <c r="K6" s="29"/>
      <c r="L6" s="30"/>
      <c r="M6" s="24"/>
      <c r="N6" s="24"/>
      <c r="O6" s="26"/>
      <c r="P6" s="24"/>
      <c r="Q6" s="24"/>
      <c r="R6" s="24"/>
      <c r="S6" s="26"/>
      <c r="T6" s="38"/>
      <c r="U6" s="39"/>
      <c r="V6" s="40"/>
      <c r="W6" s="26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6"/>
    </row>
    <row r="7" spans="1:37" x14ac:dyDescent="0.35">
      <c r="A7" s="24"/>
      <c r="B7" s="24"/>
      <c r="C7" s="27"/>
      <c r="D7" s="29"/>
      <c r="E7" s="31"/>
      <c r="F7" s="31"/>
      <c r="G7" s="28"/>
      <c r="H7" s="24"/>
      <c r="I7" s="24"/>
      <c r="J7" s="27"/>
      <c r="K7" s="42"/>
      <c r="L7" s="30"/>
      <c r="M7" s="24"/>
      <c r="N7" s="24"/>
      <c r="O7" s="28"/>
      <c r="P7" s="24"/>
      <c r="Q7" s="24"/>
      <c r="R7" s="24"/>
      <c r="S7" s="28"/>
      <c r="T7" s="3" t="s">
        <v>33</v>
      </c>
      <c r="U7" s="3" t="s">
        <v>34</v>
      </c>
      <c r="V7" s="3" t="s">
        <v>35</v>
      </c>
      <c r="W7" s="26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6"/>
    </row>
    <row r="8" spans="1:37" x14ac:dyDescent="0.35">
      <c r="A8" s="4">
        <v>1</v>
      </c>
      <c r="B8" s="4" t="s">
        <v>36</v>
      </c>
      <c r="C8" s="4" t="s">
        <v>37</v>
      </c>
      <c r="D8" s="4">
        <v>4314</v>
      </c>
      <c r="E8" s="4">
        <v>80</v>
      </c>
      <c r="F8" s="4"/>
      <c r="G8" s="4">
        <v>84</v>
      </c>
      <c r="H8" s="4">
        <v>83</v>
      </c>
      <c r="I8" s="4">
        <v>78</v>
      </c>
      <c r="J8" s="4">
        <v>80</v>
      </c>
      <c r="K8" s="15">
        <v>85</v>
      </c>
      <c r="L8" s="4">
        <v>85</v>
      </c>
      <c r="M8" s="4">
        <v>85</v>
      </c>
      <c r="N8" s="4">
        <v>79</v>
      </c>
      <c r="O8" s="4">
        <v>85</v>
      </c>
      <c r="P8" s="4">
        <v>80</v>
      </c>
      <c r="Q8" s="4">
        <v>78</v>
      </c>
      <c r="R8" s="4">
        <v>76</v>
      </c>
      <c r="S8" s="5">
        <f t="shared" ref="S8:S41" si="0">AVERAGE(F8:R8)</f>
        <v>81.5</v>
      </c>
      <c r="T8" s="4">
        <v>0</v>
      </c>
      <c r="U8" s="4">
        <v>0</v>
      </c>
      <c r="V8" s="4">
        <v>6</v>
      </c>
      <c r="W8" s="16" t="s">
        <v>537</v>
      </c>
      <c r="X8" s="4" t="s">
        <v>38</v>
      </c>
      <c r="Y8" s="4"/>
      <c r="Z8" s="4"/>
      <c r="AA8" s="4"/>
      <c r="AB8" s="4"/>
      <c r="AC8" s="4"/>
      <c r="AD8" s="4"/>
      <c r="AE8" s="4"/>
      <c r="AF8" s="4"/>
      <c r="AG8" s="4"/>
      <c r="AH8" s="11"/>
      <c r="AI8" s="19" t="s">
        <v>545</v>
      </c>
      <c r="AK8" s="18"/>
    </row>
    <row r="9" spans="1:37" x14ac:dyDescent="0.35">
      <c r="A9" s="4">
        <v>2</v>
      </c>
      <c r="B9" s="4" t="s">
        <v>39</v>
      </c>
      <c r="C9" s="4" t="s">
        <v>40</v>
      </c>
      <c r="D9" s="4">
        <v>4318</v>
      </c>
      <c r="E9" s="4">
        <v>82</v>
      </c>
      <c r="F9" s="4"/>
      <c r="G9" s="4">
        <v>90</v>
      </c>
      <c r="H9" s="4">
        <v>88</v>
      </c>
      <c r="I9" s="4">
        <v>86</v>
      </c>
      <c r="J9" s="4">
        <v>84</v>
      </c>
      <c r="K9" s="4">
        <v>86</v>
      </c>
      <c r="L9" s="4">
        <v>90</v>
      </c>
      <c r="M9" s="4">
        <v>88</v>
      </c>
      <c r="N9" s="4">
        <v>89</v>
      </c>
      <c r="O9" s="4">
        <v>88</v>
      </c>
      <c r="P9" s="4">
        <v>83</v>
      </c>
      <c r="Q9" s="4">
        <v>83</v>
      </c>
      <c r="R9" s="4">
        <v>84</v>
      </c>
      <c r="S9" s="5">
        <f t="shared" si="0"/>
        <v>86.583333333333329</v>
      </c>
      <c r="T9" s="4">
        <v>0</v>
      </c>
      <c r="U9" s="4">
        <v>0</v>
      </c>
      <c r="V9" s="4">
        <v>0</v>
      </c>
      <c r="W9" s="16" t="s">
        <v>538</v>
      </c>
      <c r="X9" s="4" t="s">
        <v>38</v>
      </c>
      <c r="Y9" s="4"/>
      <c r="Z9" s="4"/>
      <c r="AA9" s="4"/>
      <c r="AB9" s="4"/>
      <c r="AC9" s="4"/>
      <c r="AD9" s="4"/>
      <c r="AE9" s="4"/>
      <c r="AF9" s="4"/>
      <c r="AG9" s="4"/>
      <c r="AH9" s="11"/>
      <c r="AI9" s="19" t="s">
        <v>545</v>
      </c>
      <c r="AK9" s="18"/>
    </row>
    <row r="10" spans="1:37" x14ac:dyDescent="0.35">
      <c r="A10" s="4">
        <v>3</v>
      </c>
      <c r="B10" s="4" t="s">
        <v>41</v>
      </c>
      <c r="C10" s="4" t="s">
        <v>42</v>
      </c>
      <c r="D10" s="4">
        <v>4323</v>
      </c>
      <c r="E10" s="4">
        <v>84</v>
      </c>
      <c r="F10" s="4"/>
      <c r="G10" s="4">
        <v>86</v>
      </c>
      <c r="H10" s="4">
        <v>83</v>
      </c>
      <c r="I10" s="4">
        <v>86</v>
      </c>
      <c r="J10" s="4">
        <v>82</v>
      </c>
      <c r="K10" s="4">
        <v>85</v>
      </c>
      <c r="L10" s="4">
        <v>89</v>
      </c>
      <c r="M10" s="4">
        <v>87</v>
      </c>
      <c r="N10" s="4">
        <v>88</v>
      </c>
      <c r="O10" s="4">
        <v>85</v>
      </c>
      <c r="P10" s="4">
        <v>82</v>
      </c>
      <c r="Q10" s="4">
        <v>80</v>
      </c>
      <c r="R10" s="4">
        <v>82</v>
      </c>
      <c r="S10" s="5">
        <f t="shared" si="0"/>
        <v>84.583333333333329</v>
      </c>
      <c r="T10" s="4">
        <v>1</v>
      </c>
      <c r="U10" s="4">
        <v>0</v>
      </c>
      <c r="V10" s="4">
        <v>1</v>
      </c>
      <c r="W10" s="16" t="s">
        <v>537</v>
      </c>
      <c r="X10" s="4" t="s">
        <v>43</v>
      </c>
      <c r="Y10" s="4"/>
      <c r="Z10" s="4"/>
      <c r="AA10" s="4"/>
      <c r="AB10" s="4"/>
      <c r="AC10" s="4"/>
      <c r="AD10" s="4"/>
      <c r="AE10" s="4"/>
      <c r="AF10" s="4"/>
      <c r="AG10" s="4"/>
      <c r="AH10" s="11"/>
      <c r="AI10" s="19" t="s">
        <v>545</v>
      </c>
      <c r="AK10" s="18"/>
    </row>
    <row r="11" spans="1:37" x14ac:dyDescent="0.35">
      <c r="A11" s="4">
        <v>4</v>
      </c>
      <c r="B11" s="4" t="s">
        <v>44</v>
      </c>
      <c r="C11" s="4" t="s">
        <v>45</v>
      </c>
      <c r="D11" s="4">
        <v>4328</v>
      </c>
      <c r="E11" s="4">
        <v>85</v>
      </c>
      <c r="F11" s="4"/>
      <c r="G11" s="4">
        <v>80</v>
      </c>
      <c r="H11" s="4">
        <v>88</v>
      </c>
      <c r="I11" s="4">
        <v>85</v>
      </c>
      <c r="J11" s="4">
        <v>86</v>
      </c>
      <c r="K11" s="4">
        <v>87</v>
      </c>
      <c r="L11" s="4">
        <v>88</v>
      </c>
      <c r="M11" s="4">
        <v>87</v>
      </c>
      <c r="N11" s="4">
        <v>83</v>
      </c>
      <c r="O11" s="4">
        <v>86</v>
      </c>
      <c r="P11" s="4">
        <v>82</v>
      </c>
      <c r="Q11" s="4">
        <v>82</v>
      </c>
      <c r="R11" s="4">
        <v>80</v>
      </c>
      <c r="S11" s="5">
        <f t="shared" si="0"/>
        <v>84.5</v>
      </c>
      <c r="T11" s="4">
        <v>0</v>
      </c>
      <c r="U11" s="4">
        <v>0</v>
      </c>
      <c r="V11" s="4">
        <v>3</v>
      </c>
      <c r="W11" s="16" t="s">
        <v>539</v>
      </c>
      <c r="X11" s="4" t="s">
        <v>38</v>
      </c>
      <c r="Y11" s="4"/>
      <c r="Z11" s="4"/>
      <c r="AA11" s="4"/>
      <c r="AB11" s="4"/>
      <c r="AC11" s="4"/>
      <c r="AD11" s="4"/>
      <c r="AE11" s="4"/>
      <c r="AF11" s="4"/>
      <c r="AG11" s="4"/>
      <c r="AH11" s="11"/>
      <c r="AI11" s="19" t="s">
        <v>545</v>
      </c>
      <c r="AK11" s="18"/>
    </row>
    <row r="12" spans="1:37" x14ac:dyDescent="0.35">
      <c r="A12" s="4">
        <v>5</v>
      </c>
      <c r="B12" s="4" t="s">
        <v>46</v>
      </c>
      <c r="C12" s="4" t="s">
        <v>47</v>
      </c>
      <c r="D12" s="4">
        <v>4349</v>
      </c>
      <c r="E12" s="4">
        <v>85</v>
      </c>
      <c r="F12" s="4"/>
      <c r="G12" s="4">
        <v>91</v>
      </c>
      <c r="H12" s="4">
        <v>83</v>
      </c>
      <c r="I12" s="4">
        <v>88</v>
      </c>
      <c r="J12" s="4">
        <v>87</v>
      </c>
      <c r="K12" s="4">
        <v>85</v>
      </c>
      <c r="L12" s="4">
        <v>89</v>
      </c>
      <c r="M12" s="4">
        <v>88</v>
      </c>
      <c r="N12" s="4">
        <v>89</v>
      </c>
      <c r="O12" s="4">
        <v>86</v>
      </c>
      <c r="P12" s="4">
        <v>87</v>
      </c>
      <c r="Q12" s="4">
        <v>84</v>
      </c>
      <c r="R12" s="4">
        <v>85</v>
      </c>
      <c r="S12" s="5">
        <f t="shared" si="0"/>
        <v>86.833333333333329</v>
      </c>
      <c r="T12" s="4">
        <v>0</v>
      </c>
      <c r="U12" s="4">
        <v>0</v>
      </c>
      <c r="V12" s="4">
        <v>0</v>
      </c>
      <c r="W12" s="16" t="s">
        <v>538</v>
      </c>
      <c r="X12" s="4" t="s">
        <v>38</v>
      </c>
      <c r="Y12" s="4"/>
      <c r="Z12" s="4" t="s">
        <v>38</v>
      </c>
      <c r="AA12" s="4"/>
      <c r="AB12" s="4"/>
      <c r="AC12" s="4"/>
      <c r="AD12" s="4"/>
      <c r="AE12" s="4"/>
      <c r="AF12" s="4" t="s">
        <v>43</v>
      </c>
      <c r="AG12" s="4"/>
      <c r="AH12" s="11"/>
      <c r="AI12" s="19" t="s">
        <v>543</v>
      </c>
      <c r="AK12" s="18"/>
    </row>
    <row r="13" spans="1:37" x14ac:dyDescent="0.35">
      <c r="A13" s="4">
        <v>6</v>
      </c>
      <c r="B13" s="4" t="s">
        <v>48</v>
      </c>
      <c r="C13" s="4" t="s">
        <v>49</v>
      </c>
      <c r="D13" s="4">
        <v>4351</v>
      </c>
      <c r="E13" s="4">
        <v>88</v>
      </c>
      <c r="F13" s="4"/>
      <c r="G13" s="4">
        <v>93</v>
      </c>
      <c r="H13" s="4">
        <v>92</v>
      </c>
      <c r="I13" s="4">
        <v>93</v>
      </c>
      <c r="J13" s="4">
        <v>92</v>
      </c>
      <c r="K13" s="4">
        <v>87</v>
      </c>
      <c r="L13" s="4">
        <v>91</v>
      </c>
      <c r="M13" s="4">
        <v>91</v>
      </c>
      <c r="N13" s="4">
        <v>89</v>
      </c>
      <c r="O13" s="4">
        <v>91</v>
      </c>
      <c r="P13" s="4">
        <v>91</v>
      </c>
      <c r="Q13" s="4">
        <v>90</v>
      </c>
      <c r="R13" s="4">
        <v>92</v>
      </c>
      <c r="S13" s="5">
        <f t="shared" si="0"/>
        <v>91</v>
      </c>
      <c r="T13" s="4">
        <v>1</v>
      </c>
      <c r="U13" s="4">
        <v>0</v>
      </c>
      <c r="V13" s="4">
        <v>0</v>
      </c>
      <c r="W13" s="16" t="s">
        <v>538</v>
      </c>
      <c r="X13" s="4" t="s">
        <v>38</v>
      </c>
      <c r="Y13" s="4"/>
      <c r="Z13" s="4"/>
      <c r="AA13" s="4" t="s">
        <v>43</v>
      </c>
      <c r="AB13" s="4"/>
      <c r="AC13" s="4"/>
      <c r="AD13" s="4"/>
      <c r="AE13" s="4" t="s">
        <v>43</v>
      </c>
      <c r="AF13" s="4" t="s">
        <v>43</v>
      </c>
      <c r="AG13" s="4"/>
      <c r="AH13" s="11" t="s">
        <v>38</v>
      </c>
      <c r="AI13" s="19" t="s">
        <v>542</v>
      </c>
      <c r="AK13" s="18"/>
    </row>
    <row r="14" spans="1:37" x14ac:dyDescent="0.35">
      <c r="A14" s="4">
        <v>7</v>
      </c>
      <c r="B14" s="4" t="s">
        <v>50</v>
      </c>
      <c r="C14" s="4" t="s">
        <v>51</v>
      </c>
      <c r="D14" s="4">
        <v>4366</v>
      </c>
      <c r="E14" s="4">
        <v>90</v>
      </c>
      <c r="F14" s="4"/>
      <c r="G14" s="4">
        <v>91</v>
      </c>
      <c r="H14" s="4">
        <v>91</v>
      </c>
      <c r="I14" s="4">
        <v>91</v>
      </c>
      <c r="J14" s="4">
        <v>88</v>
      </c>
      <c r="K14" s="4">
        <v>86</v>
      </c>
      <c r="L14" s="4">
        <v>91</v>
      </c>
      <c r="M14" s="4">
        <v>90</v>
      </c>
      <c r="N14" s="4">
        <v>90</v>
      </c>
      <c r="O14" s="4">
        <v>88</v>
      </c>
      <c r="P14" s="4">
        <v>88</v>
      </c>
      <c r="Q14" s="4">
        <v>86</v>
      </c>
      <c r="R14" s="4">
        <v>87</v>
      </c>
      <c r="S14" s="5">
        <f t="shared" si="0"/>
        <v>88.916666666666671</v>
      </c>
      <c r="T14" s="4">
        <v>0</v>
      </c>
      <c r="U14" s="4">
        <v>1</v>
      </c>
      <c r="V14" s="4">
        <v>0</v>
      </c>
      <c r="W14" s="16" t="s">
        <v>537</v>
      </c>
      <c r="X14" s="4" t="s">
        <v>38</v>
      </c>
      <c r="Y14" s="4"/>
      <c r="Z14" s="4"/>
      <c r="AA14" s="4"/>
      <c r="AB14" s="4"/>
      <c r="AC14" s="4" t="s">
        <v>38</v>
      </c>
      <c r="AD14" s="4"/>
      <c r="AE14" s="4"/>
      <c r="AF14" s="4"/>
      <c r="AG14" s="4"/>
      <c r="AH14" s="11"/>
      <c r="AI14" s="19" t="s">
        <v>545</v>
      </c>
      <c r="AK14" s="18"/>
    </row>
    <row r="15" spans="1:37" x14ac:dyDescent="0.35">
      <c r="A15" s="4">
        <v>8</v>
      </c>
      <c r="B15" s="4" t="s">
        <v>52</v>
      </c>
      <c r="C15" s="4" t="s">
        <v>53</v>
      </c>
      <c r="D15" s="4">
        <v>4368</v>
      </c>
      <c r="E15" s="4">
        <v>85</v>
      </c>
      <c r="F15" s="4"/>
      <c r="G15" s="4">
        <v>91</v>
      </c>
      <c r="H15" s="4">
        <v>91</v>
      </c>
      <c r="I15" s="4">
        <v>87</v>
      </c>
      <c r="J15" s="4">
        <v>88</v>
      </c>
      <c r="K15" s="4">
        <v>87</v>
      </c>
      <c r="L15" s="4">
        <v>91</v>
      </c>
      <c r="M15" s="4">
        <v>89</v>
      </c>
      <c r="N15" s="4">
        <v>89</v>
      </c>
      <c r="O15" s="4">
        <v>88</v>
      </c>
      <c r="P15" s="4">
        <v>86</v>
      </c>
      <c r="Q15" s="4">
        <v>85</v>
      </c>
      <c r="R15" s="4">
        <v>84</v>
      </c>
      <c r="S15" s="5">
        <f t="shared" si="0"/>
        <v>88</v>
      </c>
      <c r="T15" s="4">
        <v>1</v>
      </c>
      <c r="U15" s="4">
        <v>0</v>
      </c>
      <c r="V15" s="4">
        <v>0</v>
      </c>
      <c r="W15" s="16" t="s">
        <v>537</v>
      </c>
      <c r="X15" s="4" t="s">
        <v>38</v>
      </c>
      <c r="Y15" s="4"/>
      <c r="Z15" s="4"/>
      <c r="AA15" s="4"/>
      <c r="AB15" s="4"/>
      <c r="AC15" s="4"/>
      <c r="AD15" s="4"/>
      <c r="AE15" s="4"/>
      <c r="AF15" s="4"/>
      <c r="AG15" s="4" t="s">
        <v>38</v>
      </c>
      <c r="AH15" s="11"/>
      <c r="AI15" s="19" t="s">
        <v>545</v>
      </c>
      <c r="AK15" s="18"/>
    </row>
    <row r="16" spans="1:37" x14ac:dyDescent="0.35">
      <c r="A16" s="4">
        <v>9</v>
      </c>
      <c r="B16" s="4" t="s">
        <v>54</v>
      </c>
      <c r="C16" s="4" t="s">
        <v>55</v>
      </c>
      <c r="D16" s="4">
        <v>4376</v>
      </c>
      <c r="E16" s="4">
        <v>80</v>
      </c>
      <c r="F16" s="4"/>
      <c r="G16" s="4">
        <v>82</v>
      </c>
      <c r="H16" s="4">
        <v>83</v>
      </c>
      <c r="I16" s="4">
        <v>70</v>
      </c>
      <c r="J16" s="4">
        <v>80</v>
      </c>
      <c r="K16" s="4">
        <v>87</v>
      </c>
      <c r="L16" s="4">
        <v>88</v>
      </c>
      <c r="M16" s="4">
        <v>85</v>
      </c>
      <c r="N16" s="4">
        <v>86</v>
      </c>
      <c r="O16" s="4">
        <v>85</v>
      </c>
      <c r="P16" s="4">
        <v>80</v>
      </c>
      <c r="Q16" s="4">
        <v>78</v>
      </c>
      <c r="R16" s="4">
        <v>78</v>
      </c>
      <c r="S16" s="5">
        <f t="shared" si="0"/>
        <v>81.833333333333329</v>
      </c>
      <c r="T16" s="4">
        <v>2</v>
      </c>
      <c r="U16" s="4">
        <v>0</v>
      </c>
      <c r="V16" s="4">
        <v>7</v>
      </c>
      <c r="W16" s="16" t="s">
        <v>537</v>
      </c>
      <c r="X16" s="4" t="s">
        <v>38</v>
      </c>
      <c r="Y16" s="4"/>
      <c r="Z16" s="4"/>
      <c r="AA16" s="4"/>
      <c r="AB16" s="4"/>
      <c r="AC16" s="4"/>
      <c r="AD16" s="4"/>
      <c r="AE16" s="4"/>
      <c r="AF16" s="4"/>
      <c r="AG16" s="4"/>
      <c r="AH16" s="11"/>
      <c r="AI16" s="19" t="s">
        <v>545</v>
      </c>
      <c r="AK16" s="18"/>
    </row>
    <row r="17" spans="1:37" x14ac:dyDescent="0.35">
      <c r="A17" s="4">
        <v>10</v>
      </c>
      <c r="B17" s="4" t="s">
        <v>56</v>
      </c>
      <c r="C17" s="4" t="s">
        <v>57</v>
      </c>
      <c r="D17" s="4">
        <v>4383</v>
      </c>
      <c r="E17" s="4">
        <v>86</v>
      </c>
      <c r="F17" s="4"/>
      <c r="G17" s="4">
        <v>92</v>
      </c>
      <c r="H17" s="4">
        <v>91</v>
      </c>
      <c r="I17" s="4">
        <v>90</v>
      </c>
      <c r="J17" s="4">
        <v>88</v>
      </c>
      <c r="K17" s="4">
        <v>87</v>
      </c>
      <c r="L17" s="4">
        <v>91</v>
      </c>
      <c r="M17" s="4">
        <v>89</v>
      </c>
      <c r="N17" s="4">
        <v>89</v>
      </c>
      <c r="O17" s="4">
        <v>87</v>
      </c>
      <c r="P17" s="4">
        <v>88</v>
      </c>
      <c r="Q17" s="4">
        <v>89</v>
      </c>
      <c r="R17" s="4">
        <v>88</v>
      </c>
      <c r="S17" s="5">
        <f t="shared" si="0"/>
        <v>89.083333333333329</v>
      </c>
      <c r="T17" s="4">
        <v>0</v>
      </c>
      <c r="U17" s="4">
        <v>0</v>
      </c>
      <c r="V17" s="4">
        <v>0</v>
      </c>
      <c r="W17" s="16" t="s">
        <v>538</v>
      </c>
      <c r="X17" s="4" t="s">
        <v>38</v>
      </c>
      <c r="Y17" s="4"/>
      <c r="Z17" s="4"/>
      <c r="AA17" s="4" t="s">
        <v>43</v>
      </c>
      <c r="AB17" s="4"/>
      <c r="AC17" s="4"/>
      <c r="AD17" s="4" t="s">
        <v>43</v>
      </c>
      <c r="AE17" s="4"/>
      <c r="AF17" s="4" t="s">
        <v>43</v>
      </c>
      <c r="AG17" s="4"/>
      <c r="AH17" s="11"/>
      <c r="AI17" s="19" t="s">
        <v>543</v>
      </c>
      <c r="AK17" s="18"/>
    </row>
    <row r="18" spans="1:37" x14ac:dyDescent="0.35">
      <c r="A18" s="4">
        <v>11</v>
      </c>
      <c r="B18" s="4" t="s">
        <v>58</v>
      </c>
      <c r="C18" s="4" t="s">
        <v>59</v>
      </c>
      <c r="D18" s="4">
        <v>4388</v>
      </c>
      <c r="E18" s="4">
        <v>85</v>
      </c>
      <c r="F18" s="4"/>
      <c r="G18" s="4">
        <v>92</v>
      </c>
      <c r="H18" s="4">
        <v>83</v>
      </c>
      <c r="I18" s="4">
        <v>85</v>
      </c>
      <c r="J18" s="4">
        <v>86</v>
      </c>
      <c r="K18" s="4">
        <v>88</v>
      </c>
      <c r="L18" s="4">
        <v>89</v>
      </c>
      <c r="M18" s="4">
        <v>89</v>
      </c>
      <c r="N18" s="4">
        <v>89</v>
      </c>
      <c r="O18" s="4">
        <v>87</v>
      </c>
      <c r="P18" s="4">
        <v>84</v>
      </c>
      <c r="Q18" s="4">
        <v>84</v>
      </c>
      <c r="R18" s="4">
        <v>88</v>
      </c>
      <c r="S18" s="5">
        <f t="shared" si="0"/>
        <v>87</v>
      </c>
      <c r="T18" s="4">
        <v>0</v>
      </c>
      <c r="U18" s="4">
        <v>0</v>
      </c>
      <c r="V18" s="4">
        <v>0</v>
      </c>
      <c r="W18" s="16" t="s">
        <v>538</v>
      </c>
      <c r="X18" s="4" t="s">
        <v>38</v>
      </c>
      <c r="Y18" s="4"/>
      <c r="Z18" s="4"/>
      <c r="AA18" s="4"/>
      <c r="AB18" s="4"/>
      <c r="AC18" s="4"/>
      <c r="AD18" s="4"/>
      <c r="AE18" s="4"/>
      <c r="AF18" s="4"/>
      <c r="AG18" s="4"/>
      <c r="AH18" s="11"/>
      <c r="AI18" s="19" t="s">
        <v>545</v>
      </c>
      <c r="AK18" s="18"/>
    </row>
    <row r="19" spans="1:37" x14ac:dyDescent="0.35">
      <c r="A19" s="4">
        <v>12</v>
      </c>
      <c r="B19" s="4" t="s">
        <v>60</v>
      </c>
      <c r="C19" s="4" t="s">
        <v>61</v>
      </c>
      <c r="D19" s="4">
        <v>4393</v>
      </c>
      <c r="E19" s="4">
        <v>80</v>
      </c>
      <c r="F19" s="4"/>
      <c r="G19" s="4">
        <v>89</v>
      </c>
      <c r="H19" s="4">
        <v>83</v>
      </c>
      <c r="I19" s="4">
        <v>83</v>
      </c>
      <c r="J19" s="4">
        <v>83</v>
      </c>
      <c r="K19" s="4">
        <v>91</v>
      </c>
      <c r="L19" s="4">
        <v>91</v>
      </c>
      <c r="M19" s="4">
        <v>87</v>
      </c>
      <c r="N19" s="4">
        <v>89</v>
      </c>
      <c r="O19" s="4">
        <v>85</v>
      </c>
      <c r="P19" s="4">
        <v>82</v>
      </c>
      <c r="Q19" s="4">
        <v>79</v>
      </c>
      <c r="R19" s="4">
        <v>81</v>
      </c>
      <c r="S19" s="5">
        <f t="shared" si="0"/>
        <v>85.25</v>
      </c>
      <c r="T19" s="4">
        <v>0</v>
      </c>
      <c r="U19" s="4">
        <v>0</v>
      </c>
      <c r="V19" s="4">
        <v>1</v>
      </c>
      <c r="W19" s="16" t="s">
        <v>537</v>
      </c>
      <c r="X19" s="4" t="s">
        <v>38</v>
      </c>
      <c r="Y19" s="4"/>
      <c r="Z19" s="4"/>
      <c r="AA19" s="4"/>
      <c r="AB19" s="4"/>
      <c r="AC19" s="4"/>
      <c r="AD19" s="4"/>
      <c r="AE19" s="4"/>
      <c r="AF19" s="4"/>
      <c r="AG19" s="4"/>
      <c r="AH19" s="11"/>
      <c r="AI19" s="19" t="s">
        <v>545</v>
      </c>
      <c r="AK19" s="18"/>
    </row>
    <row r="20" spans="1:37" x14ac:dyDescent="0.35">
      <c r="A20" s="4">
        <v>13</v>
      </c>
      <c r="B20" s="4" t="s">
        <v>62</v>
      </c>
      <c r="C20" s="4" t="s">
        <v>63</v>
      </c>
      <c r="D20" s="4">
        <v>4397</v>
      </c>
      <c r="E20" s="4">
        <v>85</v>
      </c>
      <c r="F20" s="4"/>
      <c r="G20" s="4">
        <v>92</v>
      </c>
      <c r="H20" s="4">
        <v>88</v>
      </c>
      <c r="I20" s="4">
        <v>85</v>
      </c>
      <c r="J20" s="4">
        <v>88</v>
      </c>
      <c r="K20" s="4">
        <v>85</v>
      </c>
      <c r="L20" s="4">
        <v>88</v>
      </c>
      <c r="M20" s="4">
        <v>90</v>
      </c>
      <c r="N20" s="4">
        <v>88</v>
      </c>
      <c r="O20" s="4">
        <v>87</v>
      </c>
      <c r="P20" s="4">
        <v>84</v>
      </c>
      <c r="Q20" s="4">
        <v>84</v>
      </c>
      <c r="R20" s="4">
        <v>86</v>
      </c>
      <c r="S20" s="5">
        <f t="shared" si="0"/>
        <v>87.083333333333329</v>
      </c>
      <c r="T20" s="4">
        <v>2</v>
      </c>
      <c r="U20" s="4">
        <v>0</v>
      </c>
      <c r="V20" s="4">
        <v>0</v>
      </c>
      <c r="W20" s="16" t="s">
        <v>537</v>
      </c>
      <c r="X20" s="4" t="s">
        <v>38</v>
      </c>
      <c r="Y20" s="4"/>
      <c r="Z20" s="4"/>
      <c r="AA20" s="4"/>
      <c r="AB20" s="4"/>
      <c r="AC20" s="4"/>
      <c r="AD20" s="4"/>
      <c r="AE20" s="4"/>
      <c r="AF20" s="4"/>
      <c r="AG20" s="4"/>
      <c r="AH20" s="11"/>
      <c r="AI20" s="19" t="s">
        <v>545</v>
      </c>
      <c r="AK20" s="18"/>
    </row>
    <row r="21" spans="1:37" x14ac:dyDescent="0.35">
      <c r="A21" s="4">
        <v>14</v>
      </c>
      <c r="B21" s="4" t="s">
        <v>64</v>
      </c>
      <c r="C21" s="4" t="s">
        <v>65</v>
      </c>
      <c r="D21" s="4">
        <v>4407</v>
      </c>
      <c r="E21" s="4">
        <v>85</v>
      </c>
      <c r="F21" s="4"/>
      <c r="G21" s="4">
        <v>92</v>
      </c>
      <c r="H21" s="4">
        <v>88</v>
      </c>
      <c r="I21" s="4">
        <v>91</v>
      </c>
      <c r="J21" s="4">
        <v>86</v>
      </c>
      <c r="K21" s="4">
        <v>87</v>
      </c>
      <c r="L21" s="4">
        <v>89</v>
      </c>
      <c r="M21" s="4">
        <v>89</v>
      </c>
      <c r="N21" s="4">
        <v>89</v>
      </c>
      <c r="O21" s="4">
        <v>89</v>
      </c>
      <c r="P21" s="4">
        <v>88</v>
      </c>
      <c r="Q21" s="4">
        <v>88</v>
      </c>
      <c r="R21" s="4">
        <v>90</v>
      </c>
      <c r="S21" s="5">
        <f t="shared" si="0"/>
        <v>88.833333333333329</v>
      </c>
      <c r="T21" s="4">
        <v>2</v>
      </c>
      <c r="U21" s="4">
        <v>0</v>
      </c>
      <c r="V21" s="4">
        <v>0</v>
      </c>
      <c r="W21" s="16" t="s">
        <v>537</v>
      </c>
      <c r="X21" s="4" t="s">
        <v>38</v>
      </c>
      <c r="Y21" s="4"/>
      <c r="Z21" s="4"/>
      <c r="AA21" s="4"/>
      <c r="AB21" s="4"/>
      <c r="AC21" s="4"/>
      <c r="AD21" s="4"/>
      <c r="AE21" s="4"/>
      <c r="AF21" s="4" t="s">
        <v>43</v>
      </c>
      <c r="AG21" s="4"/>
      <c r="AH21" s="11"/>
      <c r="AI21" s="19" t="s">
        <v>545</v>
      </c>
      <c r="AK21" s="18"/>
    </row>
    <row r="22" spans="1:37" x14ac:dyDescent="0.35">
      <c r="A22" s="4">
        <v>15</v>
      </c>
      <c r="B22" s="4" t="s">
        <v>66</v>
      </c>
      <c r="C22" s="4" t="s">
        <v>67</v>
      </c>
      <c r="D22" s="4">
        <v>4415</v>
      </c>
      <c r="E22" s="4">
        <v>85</v>
      </c>
      <c r="F22" s="4"/>
      <c r="G22" s="4">
        <v>90</v>
      </c>
      <c r="H22" s="4">
        <v>83</v>
      </c>
      <c r="I22" s="4">
        <v>91</v>
      </c>
      <c r="J22" s="4">
        <v>86</v>
      </c>
      <c r="K22" s="4">
        <v>86</v>
      </c>
      <c r="L22" s="4">
        <v>88</v>
      </c>
      <c r="M22" s="4">
        <v>89</v>
      </c>
      <c r="N22" s="4">
        <v>88</v>
      </c>
      <c r="O22" s="4">
        <v>86</v>
      </c>
      <c r="P22" s="4">
        <v>88</v>
      </c>
      <c r="Q22" s="4">
        <v>89</v>
      </c>
      <c r="R22" s="4">
        <v>91</v>
      </c>
      <c r="S22" s="5">
        <f t="shared" si="0"/>
        <v>87.916666666666671</v>
      </c>
      <c r="T22" s="4">
        <v>0</v>
      </c>
      <c r="U22" s="4">
        <v>0</v>
      </c>
      <c r="V22" s="4">
        <v>1</v>
      </c>
      <c r="W22" s="16" t="s">
        <v>538</v>
      </c>
      <c r="X22" s="4" t="s">
        <v>38</v>
      </c>
      <c r="Y22" s="4"/>
      <c r="Z22" s="4"/>
      <c r="AA22" s="4"/>
      <c r="AB22" s="4"/>
      <c r="AC22" s="4"/>
      <c r="AD22" s="4"/>
      <c r="AE22" s="4"/>
      <c r="AF22" s="4"/>
      <c r="AG22" s="4"/>
      <c r="AH22" s="11"/>
      <c r="AI22" s="19" t="s">
        <v>545</v>
      </c>
      <c r="AK22" s="18"/>
    </row>
    <row r="23" spans="1:37" x14ac:dyDescent="0.35">
      <c r="A23" s="4">
        <v>16</v>
      </c>
      <c r="B23" s="4" t="s">
        <v>68</v>
      </c>
      <c r="C23" s="4" t="s">
        <v>69</v>
      </c>
      <c r="D23" s="4">
        <v>4423</v>
      </c>
      <c r="E23" s="4">
        <v>87</v>
      </c>
      <c r="F23" s="4"/>
      <c r="G23" s="4">
        <v>92</v>
      </c>
      <c r="H23" s="4">
        <v>88</v>
      </c>
      <c r="I23" s="4">
        <v>89</v>
      </c>
      <c r="J23" s="4">
        <v>88</v>
      </c>
      <c r="K23" s="4">
        <v>87</v>
      </c>
      <c r="L23" s="4">
        <v>91</v>
      </c>
      <c r="M23" s="4">
        <v>90</v>
      </c>
      <c r="N23" s="4">
        <v>89</v>
      </c>
      <c r="O23" s="4">
        <v>90</v>
      </c>
      <c r="P23" s="4">
        <v>87</v>
      </c>
      <c r="Q23" s="4">
        <v>87</v>
      </c>
      <c r="R23" s="4">
        <v>91</v>
      </c>
      <c r="S23" s="5">
        <f t="shared" si="0"/>
        <v>89.083333333333329</v>
      </c>
      <c r="T23" s="4">
        <v>0</v>
      </c>
      <c r="U23" s="4">
        <v>0</v>
      </c>
      <c r="V23" s="4">
        <v>1</v>
      </c>
      <c r="W23" s="16" t="s">
        <v>538</v>
      </c>
      <c r="X23" s="4" t="s">
        <v>38</v>
      </c>
      <c r="Y23" s="4" t="s">
        <v>43</v>
      </c>
      <c r="Z23" s="4"/>
      <c r="AA23" s="4" t="s">
        <v>43</v>
      </c>
      <c r="AB23" s="4"/>
      <c r="AC23" s="4"/>
      <c r="AD23" s="4"/>
      <c r="AE23" s="4"/>
      <c r="AF23" s="4" t="s">
        <v>43</v>
      </c>
      <c r="AG23" s="4"/>
      <c r="AH23" s="11"/>
      <c r="AI23" s="19" t="s">
        <v>543</v>
      </c>
      <c r="AK23" s="18"/>
    </row>
    <row r="24" spans="1:37" x14ac:dyDescent="0.35">
      <c r="A24" s="4">
        <v>17</v>
      </c>
      <c r="B24" s="4" t="s">
        <v>70</v>
      </c>
      <c r="C24" s="4" t="s">
        <v>71</v>
      </c>
      <c r="D24" s="4">
        <v>4427</v>
      </c>
      <c r="E24" s="4">
        <v>80</v>
      </c>
      <c r="F24" s="4"/>
      <c r="G24" s="4">
        <v>88</v>
      </c>
      <c r="H24" s="4">
        <v>83</v>
      </c>
      <c r="I24" s="4">
        <v>89</v>
      </c>
      <c r="J24" s="4">
        <v>84</v>
      </c>
      <c r="K24" s="4">
        <v>88</v>
      </c>
      <c r="L24" s="4">
        <v>89</v>
      </c>
      <c r="M24" s="4">
        <v>87</v>
      </c>
      <c r="N24" s="4">
        <v>89</v>
      </c>
      <c r="O24" s="4">
        <v>85</v>
      </c>
      <c r="P24" s="4">
        <v>83</v>
      </c>
      <c r="Q24" s="4">
        <v>82</v>
      </c>
      <c r="R24" s="4">
        <v>81</v>
      </c>
      <c r="S24" s="5">
        <f t="shared" si="0"/>
        <v>85.666666666666671</v>
      </c>
      <c r="T24" s="4">
        <v>0</v>
      </c>
      <c r="U24" s="4">
        <v>0</v>
      </c>
      <c r="V24" s="4">
        <v>1</v>
      </c>
      <c r="W24" s="16" t="s">
        <v>537</v>
      </c>
      <c r="X24" s="4" t="s">
        <v>38</v>
      </c>
      <c r="Y24" s="4"/>
      <c r="Z24" s="4"/>
      <c r="AA24" s="4"/>
      <c r="AB24" s="4"/>
      <c r="AC24" s="4"/>
      <c r="AD24" s="4"/>
      <c r="AE24" s="4"/>
      <c r="AF24" s="4"/>
      <c r="AG24" s="4"/>
      <c r="AH24" s="11"/>
      <c r="AI24" s="19" t="s">
        <v>545</v>
      </c>
      <c r="AK24" s="18"/>
    </row>
    <row r="25" spans="1:37" x14ac:dyDescent="0.35">
      <c r="A25" s="4">
        <v>18</v>
      </c>
      <c r="B25" s="4" t="s">
        <v>72</v>
      </c>
      <c r="C25" s="4" t="s">
        <v>73</v>
      </c>
      <c r="D25" s="4">
        <v>4435</v>
      </c>
      <c r="E25" s="4">
        <v>83</v>
      </c>
      <c r="F25" s="4"/>
      <c r="G25" s="4">
        <v>89</v>
      </c>
      <c r="H25" s="4">
        <v>83</v>
      </c>
      <c r="I25" s="4">
        <v>86</v>
      </c>
      <c r="J25" s="4">
        <v>85</v>
      </c>
      <c r="K25" s="4">
        <v>86</v>
      </c>
      <c r="L25" s="4">
        <v>90</v>
      </c>
      <c r="M25" s="4">
        <v>88</v>
      </c>
      <c r="N25" s="4">
        <v>88</v>
      </c>
      <c r="O25" s="4">
        <v>85</v>
      </c>
      <c r="P25" s="4">
        <v>82</v>
      </c>
      <c r="Q25" s="4">
        <v>81</v>
      </c>
      <c r="R25" s="4">
        <v>83</v>
      </c>
      <c r="S25" s="5">
        <f t="shared" si="0"/>
        <v>85.5</v>
      </c>
      <c r="T25" s="4">
        <v>0</v>
      </c>
      <c r="U25" s="4">
        <v>0</v>
      </c>
      <c r="V25" s="4">
        <v>1</v>
      </c>
      <c r="W25" s="16" t="s">
        <v>537</v>
      </c>
      <c r="X25" s="4" t="s">
        <v>38</v>
      </c>
      <c r="Y25" s="4"/>
      <c r="Z25" s="4"/>
      <c r="AA25" s="4"/>
      <c r="AB25" s="4"/>
      <c r="AC25" s="4"/>
      <c r="AD25" s="4"/>
      <c r="AE25" s="4"/>
      <c r="AF25" s="4"/>
      <c r="AG25" s="4"/>
      <c r="AH25" s="11"/>
      <c r="AI25" s="19" t="s">
        <v>545</v>
      </c>
      <c r="AK25" s="18"/>
    </row>
    <row r="26" spans="1:37" x14ac:dyDescent="0.35">
      <c r="A26" s="4">
        <v>19</v>
      </c>
      <c r="B26" s="4" t="s">
        <v>74</v>
      </c>
      <c r="C26" s="4" t="s">
        <v>75</v>
      </c>
      <c r="D26" s="4">
        <v>4437</v>
      </c>
      <c r="E26" s="4">
        <v>84</v>
      </c>
      <c r="F26" s="4"/>
      <c r="G26" s="4">
        <v>92</v>
      </c>
      <c r="H26" s="4">
        <v>88</v>
      </c>
      <c r="I26" s="4">
        <v>90</v>
      </c>
      <c r="J26" s="4">
        <v>90</v>
      </c>
      <c r="K26" s="4">
        <v>87</v>
      </c>
      <c r="L26" s="4">
        <v>91</v>
      </c>
      <c r="M26" s="4">
        <v>90</v>
      </c>
      <c r="N26" s="4">
        <v>89</v>
      </c>
      <c r="O26" s="4">
        <v>91</v>
      </c>
      <c r="P26" s="4">
        <v>89</v>
      </c>
      <c r="Q26" s="4">
        <v>88</v>
      </c>
      <c r="R26" s="4">
        <v>91</v>
      </c>
      <c r="S26" s="5">
        <f t="shared" si="0"/>
        <v>89.666666666666671</v>
      </c>
      <c r="T26" s="4">
        <v>0</v>
      </c>
      <c r="U26" s="4">
        <v>0</v>
      </c>
      <c r="V26" s="4">
        <v>0</v>
      </c>
      <c r="W26" s="16" t="s">
        <v>538</v>
      </c>
      <c r="X26" s="4" t="s">
        <v>38</v>
      </c>
      <c r="Y26" s="4"/>
      <c r="Z26" s="4"/>
      <c r="AA26" s="4" t="s">
        <v>43</v>
      </c>
      <c r="AB26" s="4"/>
      <c r="AC26" s="4"/>
      <c r="AD26" s="4"/>
      <c r="AE26" s="4"/>
      <c r="AF26" s="4" t="s">
        <v>43</v>
      </c>
      <c r="AG26" s="4"/>
      <c r="AH26" s="11"/>
      <c r="AI26" s="19" t="s">
        <v>543</v>
      </c>
      <c r="AK26" s="18"/>
    </row>
    <row r="27" spans="1:37" x14ac:dyDescent="0.35">
      <c r="A27" s="4">
        <v>20</v>
      </c>
      <c r="B27" s="4" t="s">
        <v>76</v>
      </c>
      <c r="C27" s="4" t="s">
        <v>77</v>
      </c>
      <c r="D27" s="4">
        <v>4441</v>
      </c>
      <c r="E27" s="4">
        <v>84</v>
      </c>
      <c r="F27" s="4"/>
      <c r="G27" s="4">
        <v>89</v>
      </c>
      <c r="H27" s="4">
        <v>83</v>
      </c>
      <c r="I27" s="4">
        <v>78</v>
      </c>
      <c r="J27" s="4">
        <v>84</v>
      </c>
      <c r="K27" s="4">
        <v>87</v>
      </c>
      <c r="L27" s="4">
        <v>90</v>
      </c>
      <c r="M27" s="4">
        <v>85</v>
      </c>
      <c r="N27" s="4">
        <v>89</v>
      </c>
      <c r="O27" s="4">
        <v>85</v>
      </c>
      <c r="P27" s="4">
        <v>80</v>
      </c>
      <c r="Q27" s="4">
        <v>79</v>
      </c>
      <c r="R27" s="4">
        <v>81</v>
      </c>
      <c r="S27" s="5">
        <f t="shared" si="0"/>
        <v>84.166666666666671</v>
      </c>
      <c r="T27" s="4">
        <v>0</v>
      </c>
      <c r="U27" s="4">
        <v>0</v>
      </c>
      <c r="V27" s="4">
        <v>1</v>
      </c>
      <c r="W27" s="16" t="s">
        <v>537</v>
      </c>
      <c r="X27" s="4" t="s">
        <v>38</v>
      </c>
      <c r="Y27" s="4"/>
      <c r="Z27" s="4"/>
      <c r="AA27" s="4"/>
      <c r="AB27" s="4"/>
      <c r="AC27" s="4"/>
      <c r="AD27" s="4"/>
      <c r="AE27" s="4"/>
      <c r="AF27" s="4"/>
      <c r="AG27" s="4"/>
      <c r="AH27" s="11"/>
      <c r="AI27" s="19" t="s">
        <v>545</v>
      </c>
      <c r="AK27" s="18"/>
    </row>
    <row r="28" spans="1:37" x14ac:dyDescent="0.35">
      <c r="A28" s="4">
        <v>21</v>
      </c>
      <c r="B28" s="4" t="s">
        <v>78</v>
      </c>
      <c r="C28" s="4" t="s">
        <v>79</v>
      </c>
      <c r="D28" s="4">
        <v>4451</v>
      </c>
      <c r="E28" s="4">
        <v>85</v>
      </c>
      <c r="F28" s="4"/>
      <c r="G28" s="4">
        <v>86</v>
      </c>
      <c r="H28" s="4">
        <v>88</v>
      </c>
      <c r="I28" s="4">
        <v>84</v>
      </c>
      <c r="J28" s="4">
        <v>87</v>
      </c>
      <c r="K28" s="4">
        <v>87</v>
      </c>
      <c r="L28" s="4">
        <v>89</v>
      </c>
      <c r="M28" s="4">
        <v>87</v>
      </c>
      <c r="N28" s="4">
        <v>89</v>
      </c>
      <c r="O28" s="4">
        <v>85</v>
      </c>
      <c r="P28" s="4">
        <v>85</v>
      </c>
      <c r="Q28" s="4">
        <v>83</v>
      </c>
      <c r="R28" s="4">
        <v>81</v>
      </c>
      <c r="S28" s="5">
        <f t="shared" si="0"/>
        <v>85.916666666666671</v>
      </c>
      <c r="T28" s="4">
        <v>0</v>
      </c>
      <c r="U28" s="4">
        <v>0</v>
      </c>
      <c r="V28" s="4">
        <v>1</v>
      </c>
      <c r="W28" s="16" t="s">
        <v>538</v>
      </c>
      <c r="X28" s="4" t="s">
        <v>38</v>
      </c>
      <c r="Y28" s="4"/>
      <c r="Z28" s="4"/>
      <c r="AA28" s="4"/>
      <c r="AB28" s="4"/>
      <c r="AC28" s="4"/>
      <c r="AD28" s="4"/>
      <c r="AE28" s="4"/>
      <c r="AF28" s="4" t="s">
        <v>43</v>
      </c>
      <c r="AG28" s="4"/>
      <c r="AH28" s="11"/>
      <c r="AI28" s="19" t="s">
        <v>545</v>
      </c>
      <c r="AK28" s="18"/>
    </row>
    <row r="29" spans="1:37" x14ac:dyDescent="0.35">
      <c r="A29" s="4">
        <v>22</v>
      </c>
      <c r="B29" s="4" t="s">
        <v>80</v>
      </c>
      <c r="C29" s="4" t="s">
        <v>81</v>
      </c>
      <c r="D29" s="4">
        <v>4456</v>
      </c>
      <c r="E29" s="4">
        <v>80</v>
      </c>
      <c r="F29" s="4"/>
      <c r="G29" s="4">
        <v>89</v>
      </c>
      <c r="H29" s="4">
        <v>83</v>
      </c>
      <c r="I29" s="4">
        <v>80</v>
      </c>
      <c r="J29" s="4">
        <v>87</v>
      </c>
      <c r="K29" s="4">
        <v>85</v>
      </c>
      <c r="L29" s="4">
        <v>88</v>
      </c>
      <c r="M29" s="4">
        <v>87</v>
      </c>
      <c r="N29" s="4">
        <v>88</v>
      </c>
      <c r="O29" s="4">
        <v>85</v>
      </c>
      <c r="P29" s="4">
        <v>81</v>
      </c>
      <c r="Q29" s="4">
        <v>83</v>
      </c>
      <c r="R29" s="4">
        <v>80</v>
      </c>
      <c r="S29" s="5">
        <f t="shared" si="0"/>
        <v>84.666666666666671</v>
      </c>
      <c r="T29" s="4">
        <v>0</v>
      </c>
      <c r="U29" s="4">
        <v>0</v>
      </c>
      <c r="V29" s="4">
        <v>2</v>
      </c>
      <c r="W29" s="16" t="s">
        <v>537</v>
      </c>
      <c r="X29" s="4" t="s">
        <v>38</v>
      </c>
      <c r="Y29" s="4"/>
      <c r="Z29" s="4"/>
      <c r="AA29" s="4"/>
      <c r="AB29" s="4"/>
      <c r="AC29" s="4"/>
      <c r="AD29" s="4"/>
      <c r="AE29" s="4"/>
      <c r="AF29" s="4"/>
      <c r="AG29" s="4"/>
      <c r="AH29" s="11"/>
      <c r="AI29" s="19" t="s">
        <v>545</v>
      </c>
      <c r="AK29" s="18"/>
    </row>
    <row r="30" spans="1:37" x14ac:dyDescent="0.35">
      <c r="A30" s="4">
        <v>23</v>
      </c>
      <c r="B30" s="4" t="s">
        <v>82</v>
      </c>
      <c r="C30" s="4" t="s">
        <v>83</v>
      </c>
      <c r="D30" s="4">
        <v>4458</v>
      </c>
      <c r="E30" s="4">
        <v>84</v>
      </c>
      <c r="F30" s="4"/>
      <c r="G30" s="4">
        <v>89</v>
      </c>
      <c r="H30" s="4">
        <v>83</v>
      </c>
      <c r="I30" s="4">
        <v>77</v>
      </c>
      <c r="J30" s="4">
        <v>80</v>
      </c>
      <c r="K30" s="4">
        <v>85</v>
      </c>
      <c r="L30" s="4">
        <v>85</v>
      </c>
      <c r="M30" s="4">
        <v>85</v>
      </c>
      <c r="N30" s="4">
        <v>81</v>
      </c>
      <c r="O30" s="4">
        <v>85</v>
      </c>
      <c r="P30" s="4">
        <v>80</v>
      </c>
      <c r="Q30" s="4">
        <v>78</v>
      </c>
      <c r="R30" s="4">
        <v>76</v>
      </c>
      <c r="S30" s="5">
        <f t="shared" si="0"/>
        <v>82</v>
      </c>
      <c r="T30" s="4">
        <v>0</v>
      </c>
      <c r="U30" s="4">
        <v>0</v>
      </c>
      <c r="V30" s="4">
        <v>3</v>
      </c>
      <c r="W30" s="16" t="s">
        <v>537</v>
      </c>
      <c r="X30" s="4" t="s">
        <v>38</v>
      </c>
      <c r="Y30" s="4"/>
      <c r="Z30" s="4"/>
      <c r="AA30" s="4"/>
      <c r="AB30" s="4"/>
      <c r="AC30" s="4"/>
      <c r="AD30" s="4"/>
      <c r="AE30" s="4"/>
      <c r="AF30" s="4"/>
      <c r="AG30" s="4"/>
      <c r="AH30" s="11"/>
      <c r="AI30" s="19" t="s">
        <v>545</v>
      </c>
      <c r="AK30" s="18"/>
    </row>
    <row r="31" spans="1:37" x14ac:dyDescent="0.35">
      <c r="A31" s="4">
        <v>24</v>
      </c>
      <c r="B31" s="4" t="s">
        <v>84</v>
      </c>
      <c r="C31" s="4" t="s">
        <v>85</v>
      </c>
      <c r="D31" s="4">
        <v>4463</v>
      </c>
      <c r="E31" s="4">
        <v>82</v>
      </c>
      <c r="F31" s="4"/>
      <c r="G31" s="4">
        <v>86</v>
      </c>
      <c r="H31" s="4">
        <v>88</v>
      </c>
      <c r="I31" s="4">
        <v>84</v>
      </c>
      <c r="J31" s="4">
        <v>86</v>
      </c>
      <c r="K31" s="4">
        <v>85</v>
      </c>
      <c r="L31" s="4">
        <v>88</v>
      </c>
      <c r="M31" s="4">
        <v>87</v>
      </c>
      <c r="N31" s="4">
        <v>81</v>
      </c>
      <c r="O31" s="4">
        <v>87</v>
      </c>
      <c r="P31" s="4">
        <v>82</v>
      </c>
      <c r="Q31" s="4">
        <v>82</v>
      </c>
      <c r="R31" s="4">
        <v>84</v>
      </c>
      <c r="S31" s="5">
        <f t="shared" si="0"/>
        <v>85</v>
      </c>
      <c r="T31" s="4">
        <v>0</v>
      </c>
      <c r="U31" s="4">
        <v>0</v>
      </c>
      <c r="V31" s="4">
        <v>1</v>
      </c>
      <c r="W31" s="16" t="s">
        <v>537</v>
      </c>
      <c r="X31" s="4" t="s">
        <v>38</v>
      </c>
      <c r="Y31" s="4"/>
      <c r="Z31" s="4"/>
      <c r="AA31" s="4"/>
      <c r="AB31" s="4"/>
      <c r="AC31" s="4"/>
      <c r="AD31" s="4"/>
      <c r="AE31" s="4"/>
      <c r="AF31" s="4"/>
      <c r="AG31" s="4"/>
      <c r="AH31" s="11"/>
      <c r="AI31" s="19" t="s">
        <v>545</v>
      </c>
      <c r="AK31" s="18"/>
    </row>
    <row r="32" spans="1:37" x14ac:dyDescent="0.35">
      <c r="A32" s="4">
        <v>25</v>
      </c>
      <c r="B32" s="4" t="s">
        <v>86</v>
      </c>
      <c r="C32" s="4" t="s">
        <v>87</v>
      </c>
      <c r="D32" s="4">
        <v>4488</v>
      </c>
      <c r="E32" s="4">
        <v>88</v>
      </c>
      <c r="F32" s="4"/>
      <c r="G32" s="4">
        <v>90</v>
      </c>
      <c r="H32" s="4">
        <v>91</v>
      </c>
      <c r="I32" s="4">
        <v>85</v>
      </c>
      <c r="J32" s="4">
        <v>88</v>
      </c>
      <c r="K32" s="4">
        <v>87</v>
      </c>
      <c r="L32" s="4">
        <v>90</v>
      </c>
      <c r="M32" s="4">
        <v>88</v>
      </c>
      <c r="N32" s="4">
        <v>89</v>
      </c>
      <c r="O32" s="4">
        <v>89</v>
      </c>
      <c r="P32" s="4">
        <v>82</v>
      </c>
      <c r="Q32" s="4">
        <v>82</v>
      </c>
      <c r="R32" s="4">
        <v>86</v>
      </c>
      <c r="S32" s="5">
        <f t="shared" si="0"/>
        <v>87.25</v>
      </c>
      <c r="T32" s="4">
        <v>0</v>
      </c>
      <c r="U32" s="4">
        <v>0</v>
      </c>
      <c r="V32" s="4">
        <v>0</v>
      </c>
      <c r="W32" s="16" t="s">
        <v>538</v>
      </c>
      <c r="X32" s="4" t="s">
        <v>38</v>
      </c>
      <c r="Y32" s="4"/>
      <c r="Z32" s="4"/>
      <c r="AA32" s="4"/>
      <c r="AB32" s="4"/>
      <c r="AC32" s="4"/>
      <c r="AD32" s="4"/>
      <c r="AE32" s="4"/>
      <c r="AF32" s="4"/>
      <c r="AG32" s="4"/>
      <c r="AH32" s="11"/>
      <c r="AI32" s="19" t="s">
        <v>545</v>
      </c>
      <c r="AK32" s="18"/>
    </row>
    <row r="33" spans="1:37" x14ac:dyDescent="0.35">
      <c r="A33" s="4">
        <v>26</v>
      </c>
      <c r="B33" s="4" t="s">
        <v>88</v>
      </c>
      <c r="C33" s="4" t="s">
        <v>89</v>
      </c>
      <c r="D33" s="4">
        <v>4501</v>
      </c>
      <c r="E33" s="4">
        <v>90</v>
      </c>
      <c r="F33" s="4"/>
      <c r="G33" s="4">
        <v>91</v>
      </c>
      <c r="H33" s="4">
        <v>91</v>
      </c>
      <c r="I33" s="4">
        <v>86</v>
      </c>
      <c r="J33" s="4">
        <v>90</v>
      </c>
      <c r="K33" s="4">
        <v>91</v>
      </c>
      <c r="L33" s="4">
        <v>91</v>
      </c>
      <c r="M33" s="4">
        <v>93</v>
      </c>
      <c r="N33" s="4">
        <v>90</v>
      </c>
      <c r="O33" s="4">
        <v>89</v>
      </c>
      <c r="P33" s="4">
        <v>87</v>
      </c>
      <c r="Q33" s="4">
        <v>85</v>
      </c>
      <c r="R33" s="4">
        <v>85</v>
      </c>
      <c r="S33" s="5">
        <f t="shared" si="0"/>
        <v>89.083333333333329</v>
      </c>
      <c r="T33" s="4">
        <v>3</v>
      </c>
      <c r="U33" s="4">
        <v>0</v>
      </c>
      <c r="V33" s="4">
        <v>0</v>
      </c>
      <c r="W33" s="16" t="s">
        <v>538</v>
      </c>
      <c r="X33" s="4" t="s">
        <v>38</v>
      </c>
      <c r="Y33" s="4"/>
      <c r="Z33" s="4"/>
      <c r="AA33" s="4"/>
      <c r="AB33" s="4" t="s">
        <v>43</v>
      </c>
      <c r="AC33" s="4" t="s">
        <v>43</v>
      </c>
      <c r="AD33" s="4"/>
      <c r="AE33" s="4"/>
      <c r="AF33" s="4"/>
      <c r="AG33" s="4"/>
      <c r="AH33" s="11"/>
      <c r="AI33" s="19" t="s">
        <v>543</v>
      </c>
      <c r="AK33" s="18"/>
    </row>
    <row r="34" spans="1:37" x14ac:dyDescent="0.35">
      <c r="A34" s="4">
        <v>27</v>
      </c>
      <c r="B34" s="4" t="s">
        <v>90</v>
      </c>
      <c r="C34" s="4" t="s">
        <v>91</v>
      </c>
      <c r="D34" s="4">
        <v>4508</v>
      </c>
      <c r="E34" s="4">
        <v>85</v>
      </c>
      <c r="F34" s="4"/>
      <c r="G34" s="4">
        <v>89</v>
      </c>
      <c r="H34" s="4">
        <v>83</v>
      </c>
      <c r="I34" s="4">
        <v>86</v>
      </c>
      <c r="J34" s="4">
        <v>87</v>
      </c>
      <c r="K34" s="4">
        <v>86</v>
      </c>
      <c r="L34" s="4">
        <v>88</v>
      </c>
      <c r="M34" s="4">
        <v>88</v>
      </c>
      <c r="N34" s="4">
        <v>86</v>
      </c>
      <c r="O34" s="4">
        <v>87</v>
      </c>
      <c r="P34" s="4">
        <v>84</v>
      </c>
      <c r="Q34" s="4">
        <v>82</v>
      </c>
      <c r="R34" s="4">
        <v>84</v>
      </c>
      <c r="S34" s="5">
        <f t="shared" si="0"/>
        <v>85.833333333333329</v>
      </c>
      <c r="T34" s="4">
        <v>0</v>
      </c>
      <c r="U34" s="4">
        <v>0</v>
      </c>
      <c r="V34" s="4">
        <v>0</v>
      </c>
      <c r="W34" s="16" t="s">
        <v>538</v>
      </c>
      <c r="X34" s="4" t="s">
        <v>43</v>
      </c>
      <c r="Y34" s="4"/>
      <c r="Z34" s="4"/>
      <c r="AA34" s="4"/>
      <c r="AB34" s="4"/>
      <c r="AC34" s="4"/>
      <c r="AD34" s="4"/>
      <c r="AE34" s="4"/>
      <c r="AF34" s="4"/>
      <c r="AG34" s="4"/>
      <c r="AH34" s="11"/>
      <c r="AI34" s="19" t="s">
        <v>545</v>
      </c>
      <c r="AK34" s="18"/>
    </row>
    <row r="35" spans="1:37" x14ac:dyDescent="0.35">
      <c r="A35" s="4">
        <v>28</v>
      </c>
      <c r="B35" s="4" t="s">
        <v>92</v>
      </c>
      <c r="C35" s="4" t="s">
        <v>93</v>
      </c>
      <c r="D35" s="4">
        <v>4512</v>
      </c>
      <c r="E35" s="4">
        <v>88</v>
      </c>
      <c r="F35" s="4"/>
      <c r="G35" s="4">
        <v>93</v>
      </c>
      <c r="H35" s="4">
        <v>88</v>
      </c>
      <c r="I35" s="4">
        <v>93</v>
      </c>
      <c r="J35" s="4">
        <v>92</v>
      </c>
      <c r="K35" s="4">
        <v>85</v>
      </c>
      <c r="L35" s="4">
        <v>88</v>
      </c>
      <c r="M35" s="4">
        <v>93</v>
      </c>
      <c r="N35" s="4">
        <v>89</v>
      </c>
      <c r="O35" s="4">
        <v>91</v>
      </c>
      <c r="P35" s="4">
        <v>91</v>
      </c>
      <c r="Q35" s="4">
        <v>91</v>
      </c>
      <c r="R35" s="4">
        <v>92</v>
      </c>
      <c r="S35" s="5">
        <f t="shared" si="0"/>
        <v>90.5</v>
      </c>
      <c r="T35" s="4">
        <v>0</v>
      </c>
      <c r="U35" s="4">
        <v>0</v>
      </c>
      <c r="V35" s="4">
        <v>0</v>
      </c>
      <c r="W35" s="16" t="s">
        <v>538</v>
      </c>
      <c r="X35" s="4" t="s">
        <v>38</v>
      </c>
      <c r="Y35" s="4"/>
      <c r="Z35" s="4"/>
      <c r="AA35" s="4" t="s">
        <v>43</v>
      </c>
      <c r="AB35" s="4"/>
      <c r="AC35" s="4"/>
      <c r="AD35" s="4"/>
      <c r="AE35" s="4"/>
      <c r="AF35" s="4"/>
      <c r="AG35" s="4"/>
      <c r="AH35" s="11" t="s">
        <v>38</v>
      </c>
      <c r="AI35" s="19" t="s">
        <v>544</v>
      </c>
      <c r="AK35" s="18"/>
    </row>
    <row r="36" spans="1:37" x14ac:dyDescent="0.35">
      <c r="A36" s="4">
        <v>29</v>
      </c>
      <c r="B36" s="4" t="s">
        <v>94</v>
      </c>
      <c r="C36" s="4" t="s">
        <v>95</v>
      </c>
      <c r="D36" s="4">
        <v>4513</v>
      </c>
      <c r="E36" s="4">
        <v>50</v>
      </c>
      <c r="F36" s="4"/>
      <c r="G36" s="4">
        <v>70</v>
      </c>
      <c r="H36" s="4">
        <v>70</v>
      </c>
      <c r="I36" s="4">
        <v>75</v>
      </c>
      <c r="J36" s="4">
        <v>85</v>
      </c>
      <c r="K36" s="4">
        <v>87</v>
      </c>
      <c r="L36" s="4">
        <v>70</v>
      </c>
      <c r="M36" s="4">
        <v>88</v>
      </c>
      <c r="N36" s="4">
        <v>76</v>
      </c>
      <c r="O36" s="4">
        <v>77</v>
      </c>
      <c r="P36" s="4">
        <v>81</v>
      </c>
      <c r="Q36" s="4">
        <v>75</v>
      </c>
      <c r="R36" s="4">
        <v>20</v>
      </c>
      <c r="S36" s="5">
        <f t="shared" si="0"/>
        <v>72.833333333333329</v>
      </c>
      <c r="T36" s="4">
        <v>0</v>
      </c>
      <c r="U36" s="4">
        <v>0</v>
      </c>
      <c r="V36" s="4">
        <v>5</v>
      </c>
      <c r="W36" s="16" t="s">
        <v>537</v>
      </c>
      <c r="X36" s="4" t="s">
        <v>38</v>
      </c>
      <c r="Y36" s="4"/>
      <c r="Z36" s="4"/>
      <c r="AA36" s="4"/>
      <c r="AB36" s="4"/>
      <c r="AC36" s="4"/>
      <c r="AD36" s="4"/>
      <c r="AE36" s="4"/>
      <c r="AF36" s="4"/>
      <c r="AG36" s="4"/>
      <c r="AH36" s="11"/>
      <c r="AI36" s="19" t="s">
        <v>545</v>
      </c>
      <c r="AK36" s="18"/>
    </row>
    <row r="37" spans="1:37" x14ac:dyDescent="0.35">
      <c r="A37" s="4">
        <v>30</v>
      </c>
      <c r="B37" s="4" t="s">
        <v>96</v>
      </c>
      <c r="C37" s="4" t="s">
        <v>97</v>
      </c>
      <c r="D37" s="4">
        <v>4898</v>
      </c>
      <c r="E37" s="4">
        <v>80</v>
      </c>
      <c r="F37" s="4"/>
      <c r="G37" s="4">
        <v>89</v>
      </c>
      <c r="H37" s="4">
        <v>83</v>
      </c>
      <c r="I37" s="4">
        <v>78</v>
      </c>
      <c r="J37" s="4">
        <v>80</v>
      </c>
      <c r="K37" s="4">
        <v>86</v>
      </c>
      <c r="L37" s="4">
        <v>89</v>
      </c>
      <c r="M37" s="4">
        <v>85</v>
      </c>
      <c r="N37" s="4">
        <v>89</v>
      </c>
      <c r="O37" s="4">
        <v>85</v>
      </c>
      <c r="P37" s="4">
        <v>80</v>
      </c>
      <c r="Q37" s="4">
        <v>79</v>
      </c>
      <c r="R37" s="4">
        <v>76</v>
      </c>
      <c r="S37" s="5">
        <f t="shared" si="0"/>
        <v>83.25</v>
      </c>
      <c r="T37" s="4">
        <v>0</v>
      </c>
      <c r="U37" s="4">
        <v>1</v>
      </c>
      <c r="V37" s="4">
        <v>0</v>
      </c>
      <c r="W37" s="16" t="s">
        <v>537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1"/>
      <c r="AI37" s="19" t="s">
        <v>545</v>
      </c>
      <c r="AK37" s="18"/>
    </row>
    <row r="38" spans="1:37" x14ac:dyDescent="0.35">
      <c r="A38" s="4">
        <v>31</v>
      </c>
      <c r="B38" s="4" t="s">
        <v>98</v>
      </c>
      <c r="C38" s="4" t="s">
        <v>99</v>
      </c>
      <c r="D38" s="4">
        <v>4524</v>
      </c>
      <c r="E38" s="4">
        <v>85</v>
      </c>
      <c r="F38" s="4"/>
      <c r="G38" s="4">
        <v>90</v>
      </c>
      <c r="H38" s="4">
        <v>91</v>
      </c>
      <c r="I38" s="4">
        <v>82</v>
      </c>
      <c r="J38" s="4">
        <v>88</v>
      </c>
      <c r="K38" s="4">
        <v>86</v>
      </c>
      <c r="L38" s="4">
        <v>86</v>
      </c>
      <c r="M38" s="4">
        <v>90</v>
      </c>
      <c r="N38" s="4">
        <v>89</v>
      </c>
      <c r="O38" s="4">
        <v>85</v>
      </c>
      <c r="P38" s="4">
        <v>83</v>
      </c>
      <c r="Q38" s="4">
        <v>82</v>
      </c>
      <c r="R38" s="4">
        <v>83</v>
      </c>
      <c r="S38" s="5">
        <f t="shared" si="0"/>
        <v>86.25</v>
      </c>
      <c r="T38" s="4">
        <v>0</v>
      </c>
      <c r="U38" s="4">
        <v>0</v>
      </c>
      <c r="V38" s="4">
        <v>1</v>
      </c>
      <c r="W38" s="16" t="s">
        <v>537</v>
      </c>
      <c r="X38" s="4" t="s">
        <v>38</v>
      </c>
      <c r="Y38" s="4"/>
      <c r="Z38" s="4"/>
      <c r="AA38" s="4"/>
      <c r="AB38" s="4"/>
      <c r="AC38" s="4"/>
      <c r="AD38" s="4"/>
      <c r="AE38" s="4"/>
      <c r="AF38" s="4"/>
      <c r="AG38" s="4"/>
      <c r="AH38" s="11"/>
      <c r="AI38" s="19" t="s">
        <v>545</v>
      </c>
      <c r="AK38" s="18"/>
    </row>
    <row r="39" spans="1:37" x14ac:dyDescent="0.35">
      <c r="A39" s="4">
        <v>32</v>
      </c>
      <c r="B39" s="4" t="s">
        <v>100</v>
      </c>
      <c r="C39" s="4" t="s">
        <v>101</v>
      </c>
      <c r="D39" s="4">
        <v>4531</v>
      </c>
      <c r="E39" s="4">
        <v>80</v>
      </c>
      <c r="F39" s="4"/>
      <c r="G39" s="4">
        <v>82</v>
      </c>
      <c r="H39" s="4">
        <v>83</v>
      </c>
      <c r="I39" s="4">
        <v>79</v>
      </c>
      <c r="J39" s="4">
        <v>80</v>
      </c>
      <c r="K39" s="4">
        <v>86</v>
      </c>
      <c r="L39" s="4">
        <v>85</v>
      </c>
      <c r="M39" s="4">
        <v>83</v>
      </c>
      <c r="N39" s="4">
        <v>83</v>
      </c>
      <c r="O39" s="4">
        <v>85</v>
      </c>
      <c r="P39" s="4">
        <v>80</v>
      </c>
      <c r="Q39" s="4">
        <v>78</v>
      </c>
      <c r="R39" s="4">
        <v>75</v>
      </c>
      <c r="S39" s="5">
        <f t="shared" si="0"/>
        <v>81.583333333333329</v>
      </c>
      <c r="T39" s="4">
        <v>0</v>
      </c>
      <c r="U39" s="4">
        <v>0</v>
      </c>
      <c r="V39" s="4">
        <v>7</v>
      </c>
      <c r="W39" s="16" t="s">
        <v>537</v>
      </c>
      <c r="X39" s="4" t="s">
        <v>38</v>
      </c>
      <c r="Y39" s="4"/>
      <c r="Z39" s="4"/>
      <c r="AA39" s="4"/>
      <c r="AB39" s="4"/>
      <c r="AC39" s="4"/>
      <c r="AD39" s="4"/>
      <c r="AE39" s="4"/>
      <c r="AF39" s="4"/>
      <c r="AG39" s="4"/>
      <c r="AH39" s="11"/>
      <c r="AI39" s="19" t="s">
        <v>545</v>
      </c>
      <c r="AK39" s="18"/>
    </row>
    <row r="40" spans="1:37" x14ac:dyDescent="0.35">
      <c r="A40" s="4">
        <v>33</v>
      </c>
      <c r="B40" s="4" t="s">
        <v>102</v>
      </c>
      <c r="C40" s="4" t="s">
        <v>103</v>
      </c>
      <c r="D40" s="4">
        <v>4542</v>
      </c>
      <c r="E40" s="4">
        <v>88</v>
      </c>
      <c r="F40" s="4"/>
      <c r="G40" s="4">
        <v>92</v>
      </c>
      <c r="H40" s="4">
        <v>91</v>
      </c>
      <c r="I40" s="4">
        <v>91</v>
      </c>
      <c r="J40" s="4">
        <v>90</v>
      </c>
      <c r="K40" s="4">
        <v>89</v>
      </c>
      <c r="L40" s="4">
        <v>89</v>
      </c>
      <c r="M40" s="4">
        <v>91</v>
      </c>
      <c r="N40" s="4">
        <v>89</v>
      </c>
      <c r="O40" s="4">
        <v>87</v>
      </c>
      <c r="P40" s="4">
        <v>89</v>
      </c>
      <c r="Q40" s="4">
        <v>88</v>
      </c>
      <c r="R40" s="4">
        <v>90</v>
      </c>
      <c r="S40" s="5">
        <f t="shared" si="0"/>
        <v>89.666666666666671</v>
      </c>
      <c r="T40" s="4">
        <v>0</v>
      </c>
      <c r="U40" s="4">
        <v>0</v>
      </c>
      <c r="V40" s="4">
        <v>1</v>
      </c>
      <c r="W40" s="16" t="s">
        <v>541</v>
      </c>
      <c r="X40" s="4" t="s">
        <v>38</v>
      </c>
      <c r="Y40" s="4"/>
      <c r="Z40" s="4"/>
      <c r="AA40" s="4"/>
      <c r="AB40" s="4"/>
      <c r="AC40" s="4"/>
      <c r="AD40" s="4"/>
      <c r="AE40" s="4"/>
      <c r="AF40" s="4" t="s">
        <v>43</v>
      </c>
      <c r="AG40" s="4"/>
      <c r="AH40" s="11"/>
      <c r="AI40" s="19" t="s">
        <v>545</v>
      </c>
      <c r="AK40" s="18"/>
    </row>
    <row r="41" spans="1:37" x14ac:dyDescent="0.35">
      <c r="A41" s="4">
        <v>34</v>
      </c>
      <c r="B41" s="4" t="s">
        <v>104</v>
      </c>
      <c r="C41" s="4" t="s">
        <v>105</v>
      </c>
      <c r="D41" s="4">
        <v>4545</v>
      </c>
      <c r="E41" s="4">
        <v>85</v>
      </c>
      <c r="F41" s="4"/>
      <c r="G41" s="4">
        <v>92</v>
      </c>
      <c r="H41" s="4">
        <v>91</v>
      </c>
      <c r="I41" s="4">
        <v>83</v>
      </c>
      <c r="J41" s="4">
        <v>86</v>
      </c>
      <c r="K41" s="13">
        <v>87</v>
      </c>
      <c r="L41" s="4">
        <v>89</v>
      </c>
      <c r="M41" s="4">
        <v>90</v>
      </c>
      <c r="N41" s="4">
        <v>89</v>
      </c>
      <c r="O41" s="4">
        <v>87</v>
      </c>
      <c r="P41" s="4">
        <v>86</v>
      </c>
      <c r="Q41" s="4">
        <v>83</v>
      </c>
      <c r="R41" s="4">
        <v>86</v>
      </c>
      <c r="S41" s="5">
        <f t="shared" si="0"/>
        <v>87.416666666666671</v>
      </c>
      <c r="T41" s="4">
        <v>0</v>
      </c>
      <c r="U41" s="4">
        <v>0</v>
      </c>
      <c r="V41" s="4">
        <v>1</v>
      </c>
      <c r="W41" s="16" t="s">
        <v>537</v>
      </c>
      <c r="X41" s="4" t="s">
        <v>43</v>
      </c>
      <c r="Y41" s="4"/>
      <c r="Z41" s="4"/>
      <c r="AA41" s="4"/>
      <c r="AB41" s="4"/>
      <c r="AC41" s="4"/>
      <c r="AD41" s="4"/>
      <c r="AE41" s="4"/>
      <c r="AF41" s="4"/>
      <c r="AG41" s="4"/>
      <c r="AH41" s="11"/>
      <c r="AI41" s="19" t="s">
        <v>545</v>
      </c>
      <c r="AK41" s="18"/>
    </row>
    <row r="42" spans="1:37" x14ac:dyDescent="0.35">
      <c r="K42" s="14"/>
    </row>
  </sheetData>
  <sheetProtection formatCells="0" formatColumns="0" formatRows="0" insertColumns="0" insertRows="0" insertHyperlinks="0" deleteColumns="0" deleteRows="0" sort="0" autoFilter="0" pivotTables="0"/>
  <mergeCells count="35">
    <mergeCell ref="E5:E7"/>
    <mergeCell ref="T4:V6"/>
    <mergeCell ref="K5:K7"/>
    <mergeCell ref="X5:X7"/>
    <mergeCell ref="Y5:Y7"/>
    <mergeCell ref="Z5:Z7"/>
    <mergeCell ref="W4:W7"/>
    <mergeCell ref="A4:A7"/>
    <mergeCell ref="B4:B7"/>
    <mergeCell ref="C4:C7"/>
    <mergeCell ref="D4:D7"/>
    <mergeCell ref="F4:R4"/>
    <mergeCell ref="L5:L7"/>
    <mergeCell ref="N5:N7"/>
    <mergeCell ref="O5:O7"/>
    <mergeCell ref="P5:P7"/>
    <mergeCell ref="Q5:Q7"/>
    <mergeCell ref="F5:F7"/>
    <mergeCell ref="G5:G7"/>
    <mergeCell ref="M5:M7"/>
    <mergeCell ref="I5:I7"/>
    <mergeCell ref="H5:H7"/>
    <mergeCell ref="AI4:AI7"/>
    <mergeCell ref="AA5:AA7"/>
    <mergeCell ref="J5:J7"/>
    <mergeCell ref="R5:R7"/>
    <mergeCell ref="AG5:AG7"/>
    <mergeCell ref="AH5:AH7"/>
    <mergeCell ref="X4:AH4"/>
    <mergeCell ref="S4:S7"/>
    <mergeCell ref="AB5:AB7"/>
    <mergeCell ref="AC5:AC7"/>
    <mergeCell ref="AD5:AD7"/>
    <mergeCell ref="AE5:AE7"/>
    <mergeCell ref="AF5:AF7"/>
  </mergeCells>
  <phoneticPr fontId="6" type="noConversion"/>
  <printOptions horizontalCentered="1"/>
  <pageMargins left="0.19685039370078741" right="0.19685039370078741" top="0.59055118110236227" bottom="0.59055118110236227" header="0.11811023622047245" footer="0.11811023622047245"/>
  <pageSetup paperSize="9" scale="7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E5C9-B971-4C5F-BA71-8CB4D33AC459}">
  <dimension ref="A1:AK41"/>
  <sheetViews>
    <sheetView zoomScale="57" workbookViewId="0">
      <selection activeCell="AL26" sqref="AL26"/>
    </sheetView>
  </sheetViews>
  <sheetFormatPr defaultRowHeight="14.5" x14ac:dyDescent="0.35"/>
  <cols>
    <col min="1" max="1" width="4" customWidth="1"/>
    <col min="2" max="2" width="25.1796875" bestFit="1" customWidth="1"/>
    <col min="3" max="3" width="11.26953125" customWidth="1"/>
    <col min="4" max="4" width="7.81640625" customWidth="1"/>
    <col min="5" max="18" width="5" customWidth="1"/>
    <col min="19" max="19" width="8.453125" customWidth="1"/>
    <col min="20" max="22" width="5" customWidth="1"/>
    <col min="23" max="23" width="15.36328125" customWidth="1"/>
    <col min="24" max="34" width="5" customWidth="1"/>
    <col min="35" max="35" width="16.1796875" customWidth="1"/>
  </cols>
  <sheetData>
    <row r="1" spans="1:37" ht="18.5" x14ac:dyDescent="0.4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7" x14ac:dyDescent="0.35">
      <c r="A2" s="7" t="s">
        <v>1</v>
      </c>
      <c r="B2" s="7"/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7" x14ac:dyDescent="0.35">
      <c r="A3" s="7" t="s">
        <v>3</v>
      </c>
      <c r="B3" s="7"/>
      <c r="C3" s="2" t="s">
        <v>531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7" x14ac:dyDescent="0.35">
      <c r="A4" s="44" t="s">
        <v>4</v>
      </c>
      <c r="B4" s="44" t="s">
        <v>5</v>
      </c>
      <c r="C4" s="44" t="s">
        <v>6</v>
      </c>
      <c r="D4" s="44" t="s">
        <v>7</v>
      </c>
      <c r="E4" s="44" t="s">
        <v>8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5" t="s">
        <v>106</v>
      </c>
      <c r="T4" s="44" t="s">
        <v>9</v>
      </c>
      <c r="U4" s="44"/>
      <c r="V4" s="44"/>
      <c r="W4" s="45" t="s">
        <v>522</v>
      </c>
      <c r="X4" s="44" t="s">
        <v>10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25" t="s">
        <v>540</v>
      </c>
    </row>
    <row r="5" spans="1:37" x14ac:dyDescent="0.35">
      <c r="A5" s="44"/>
      <c r="B5" s="44"/>
      <c r="C5" s="44"/>
      <c r="D5" s="44"/>
      <c r="E5" s="44" t="s">
        <v>11</v>
      </c>
      <c r="F5" s="44" t="s">
        <v>107</v>
      </c>
      <c r="G5" s="44" t="s">
        <v>12</v>
      </c>
      <c r="H5" s="44" t="s">
        <v>13</v>
      </c>
      <c r="I5" s="44" t="s">
        <v>14</v>
      </c>
      <c r="J5" s="44" t="s">
        <v>15</v>
      </c>
      <c r="K5" s="24" t="s">
        <v>523</v>
      </c>
      <c r="L5" s="24" t="s">
        <v>16</v>
      </c>
      <c r="M5" s="24" t="s">
        <v>524</v>
      </c>
      <c r="N5" s="24" t="s">
        <v>18</v>
      </c>
      <c r="O5" s="24" t="s">
        <v>17</v>
      </c>
      <c r="P5" s="24" t="s">
        <v>180</v>
      </c>
      <c r="Q5" s="24" t="s">
        <v>251</v>
      </c>
      <c r="R5" s="44" t="s">
        <v>21</v>
      </c>
      <c r="S5" s="43"/>
      <c r="T5" s="44"/>
      <c r="U5" s="44"/>
      <c r="V5" s="44"/>
      <c r="W5" s="43"/>
      <c r="X5" s="44" t="s">
        <v>22</v>
      </c>
      <c r="Y5" s="44" t="s">
        <v>23</v>
      </c>
      <c r="Z5" s="44" t="s">
        <v>174</v>
      </c>
      <c r="AA5" s="44" t="s">
        <v>25</v>
      </c>
      <c r="AB5" s="44" t="s">
        <v>175</v>
      </c>
      <c r="AC5" s="44" t="s">
        <v>176</v>
      </c>
      <c r="AD5" s="44" t="s">
        <v>177</v>
      </c>
      <c r="AE5" s="44" t="s">
        <v>178</v>
      </c>
      <c r="AF5" s="44" t="s">
        <v>30</v>
      </c>
      <c r="AG5" s="44" t="s">
        <v>31</v>
      </c>
      <c r="AH5" s="44" t="s">
        <v>179</v>
      </c>
      <c r="AI5" s="43"/>
    </row>
    <row r="6" spans="1:37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3"/>
      <c r="T6" s="44"/>
      <c r="U6" s="44"/>
      <c r="V6" s="44"/>
      <c r="W6" s="43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3"/>
    </row>
    <row r="7" spans="1:37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6"/>
      <c r="T7" s="9" t="s">
        <v>33</v>
      </c>
      <c r="U7" s="9" t="s">
        <v>34</v>
      </c>
      <c r="V7" s="9" t="s">
        <v>35</v>
      </c>
      <c r="W7" s="43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3"/>
    </row>
    <row r="8" spans="1:37" x14ac:dyDescent="0.35">
      <c r="A8" s="4">
        <v>1</v>
      </c>
      <c r="B8" s="4" t="s">
        <v>108</v>
      </c>
      <c r="C8" s="4" t="s">
        <v>109</v>
      </c>
      <c r="D8" s="4">
        <v>4321</v>
      </c>
      <c r="E8" s="4">
        <v>78</v>
      </c>
      <c r="F8" s="4"/>
      <c r="G8" s="4">
        <v>85</v>
      </c>
      <c r="H8" s="4">
        <v>83</v>
      </c>
      <c r="I8" s="4">
        <v>78</v>
      </c>
      <c r="J8" s="4">
        <v>80</v>
      </c>
      <c r="K8" s="4">
        <v>85</v>
      </c>
      <c r="L8" s="4">
        <v>87</v>
      </c>
      <c r="M8" s="4">
        <v>85</v>
      </c>
      <c r="N8" s="4">
        <v>82</v>
      </c>
      <c r="O8" s="4">
        <v>85</v>
      </c>
      <c r="P8" s="4">
        <v>80</v>
      </c>
      <c r="Q8" s="4">
        <v>78</v>
      </c>
      <c r="R8" s="4">
        <v>76</v>
      </c>
      <c r="S8" s="5">
        <f t="shared" ref="S8:S40" si="0">AVERAGE(E8:R8)</f>
        <v>81.692307692307693</v>
      </c>
      <c r="T8" s="4">
        <v>0</v>
      </c>
      <c r="U8" s="4">
        <v>0</v>
      </c>
      <c r="V8" s="4">
        <v>7</v>
      </c>
      <c r="W8" s="17" t="s">
        <v>537</v>
      </c>
      <c r="X8" s="4" t="s">
        <v>38</v>
      </c>
      <c r="Y8" s="4"/>
      <c r="Z8" s="4"/>
      <c r="AA8" s="4"/>
      <c r="AB8" s="4"/>
      <c r="AC8" s="4"/>
      <c r="AD8" s="4"/>
      <c r="AE8" s="4"/>
      <c r="AF8" s="4"/>
      <c r="AG8" s="4"/>
      <c r="AH8" s="11"/>
      <c r="AI8" s="20" t="s">
        <v>545</v>
      </c>
      <c r="AK8" s="18"/>
    </row>
    <row r="9" spans="1:37" x14ac:dyDescent="0.35">
      <c r="A9" s="4">
        <v>2</v>
      </c>
      <c r="B9" s="4" t="s">
        <v>110</v>
      </c>
      <c r="C9" s="4" t="s">
        <v>111</v>
      </c>
      <c r="D9" s="4">
        <v>4325</v>
      </c>
      <c r="E9" s="4">
        <v>80</v>
      </c>
      <c r="F9" s="4"/>
      <c r="G9" s="4">
        <v>90</v>
      </c>
      <c r="H9" s="4">
        <v>88</v>
      </c>
      <c r="I9" s="4">
        <v>90</v>
      </c>
      <c r="J9" s="4">
        <v>83</v>
      </c>
      <c r="K9" s="4">
        <v>88</v>
      </c>
      <c r="L9" s="4">
        <v>90</v>
      </c>
      <c r="M9" s="4">
        <v>90</v>
      </c>
      <c r="N9" s="4">
        <v>87</v>
      </c>
      <c r="O9" s="4">
        <v>88</v>
      </c>
      <c r="P9" s="4">
        <v>86</v>
      </c>
      <c r="Q9" s="4">
        <v>80</v>
      </c>
      <c r="R9" s="4">
        <v>82</v>
      </c>
      <c r="S9" s="5">
        <f t="shared" si="0"/>
        <v>86.307692307692307</v>
      </c>
      <c r="T9" s="4">
        <v>0</v>
      </c>
      <c r="U9" s="4">
        <v>1</v>
      </c>
      <c r="V9" s="4">
        <v>0</v>
      </c>
      <c r="W9" s="17" t="s">
        <v>537</v>
      </c>
      <c r="X9" s="4" t="s">
        <v>38</v>
      </c>
      <c r="Y9" s="4"/>
      <c r="Z9" s="4"/>
      <c r="AA9" s="4"/>
      <c r="AB9" s="4"/>
      <c r="AC9" s="4"/>
      <c r="AD9" s="4"/>
      <c r="AE9" s="4"/>
      <c r="AF9" s="4"/>
      <c r="AG9" s="4"/>
      <c r="AH9" s="11"/>
      <c r="AI9" s="20" t="s">
        <v>545</v>
      </c>
      <c r="AK9" s="18"/>
    </row>
    <row r="10" spans="1:37" x14ac:dyDescent="0.35">
      <c r="A10" s="4">
        <v>3</v>
      </c>
      <c r="B10" s="4" t="s">
        <v>112</v>
      </c>
      <c r="C10" s="4" t="s">
        <v>113</v>
      </c>
      <c r="D10" s="4">
        <v>4337</v>
      </c>
      <c r="E10" s="4">
        <v>85</v>
      </c>
      <c r="F10" s="4"/>
      <c r="G10" s="4">
        <v>90</v>
      </c>
      <c r="H10" s="4">
        <v>88</v>
      </c>
      <c r="I10" s="4">
        <v>87</v>
      </c>
      <c r="J10" s="4">
        <v>81</v>
      </c>
      <c r="K10" s="4">
        <v>85</v>
      </c>
      <c r="L10" s="4">
        <v>90</v>
      </c>
      <c r="M10" s="4">
        <v>86</v>
      </c>
      <c r="N10" s="4">
        <v>87</v>
      </c>
      <c r="O10" s="4">
        <v>87</v>
      </c>
      <c r="P10" s="4">
        <v>88</v>
      </c>
      <c r="Q10" s="4">
        <v>82</v>
      </c>
      <c r="R10" s="4">
        <v>83</v>
      </c>
      <c r="S10" s="5">
        <f t="shared" si="0"/>
        <v>86.07692307692308</v>
      </c>
      <c r="T10" s="4">
        <v>2</v>
      </c>
      <c r="U10" s="4">
        <v>0</v>
      </c>
      <c r="V10" s="4">
        <v>0</v>
      </c>
      <c r="W10" s="17" t="s">
        <v>538</v>
      </c>
      <c r="X10" s="4" t="s">
        <v>38</v>
      </c>
      <c r="Y10" s="4"/>
      <c r="Z10" s="4"/>
      <c r="AA10" s="4"/>
      <c r="AB10" s="4"/>
      <c r="AC10" s="4"/>
      <c r="AD10" s="4"/>
      <c r="AE10" s="4" t="s">
        <v>38</v>
      </c>
      <c r="AF10" s="4"/>
      <c r="AG10" s="4"/>
      <c r="AH10" s="11"/>
      <c r="AI10" s="20" t="s">
        <v>547</v>
      </c>
      <c r="AK10" s="18"/>
    </row>
    <row r="11" spans="1:37" x14ac:dyDescent="0.35">
      <c r="A11" s="4">
        <v>4</v>
      </c>
      <c r="B11" s="4" t="s">
        <v>114</v>
      </c>
      <c r="C11" s="4" t="s">
        <v>115</v>
      </c>
      <c r="D11" s="4">
        <v>4876</v>
      </c>
      <c r="E11" s="4">
        <v>88</v>
      </c>
      <c r="F11" s="4"/>
      <c r="G11" s="4">
        <v>90</v>
      </c>
      <c r="H11" s="4">
        <v>91</v>
      </c>
      <c r="I11" s="4">
        <v>88</v>
      </c>
      <c r="J11" s="4">
        <v>88</v>
      </c>
      <c r="K11" s="4">
        <v>86</v>
      </c>
      <c r="L11" s="4">
        <v>88</v>
      </c>
      <c r="M11" s="4">
        <v>89</v>
      </c>
      <c r="N11" s="4">
        <v>87</v>
      </c>
      <c r="O11" s="4">
        <v>88</v>
      </c>
      <c r="P11" s="4">
        <v>86</v>
      </c>
      <c r="Q11" s="4">
        <v>85</v>
      </c>
      <c r="R11" s="4">
        <v>88</v>
      </c>
      <c r="S11" s="5">
        <f t="shared" si="0"/>
        <v>87.84615384615384</v>
      </c>
      <c r="T11" s="4">
        <v>0</v>
      </c>
      <c r="U11" s="4">
        <v>2</v>
      </c>
      <c r="V11" s="4">
        <v>1</v>
      </c>
      <c r="W11" s="17" t="s">
        <v>537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11"/>
      <c r="AI11" s="20" t="s">
        <v>545</v>
      </c>
      <c r="AK11" s="18"/>
    </row>
    <row r="12" spans="1:37" x14ac:dyDescent="0.35">
      <c r="A12" s="4">
        <v>5</v>
      </c>
      <c r="B12" s="4" t="s">
        <v>116</v>
      </c>
      <c r="C12" s="4" t="s">
        <v>117</v>
      </c>
      <c r="D12" s="4">
        <v>4357</v>
      </c>
      <c r="E12" s="4">
        <v>90</v>
      </c>
      <c r="F12" s="4"/>
      <c r="G12" s="4">
        <v>92</v>
      </c>
      <c r="H12" s="4">
        <v>93</v>
      </c>
      <c r="I12" s="4">
        <v>91</v>
      </c>
      <c r="J12" s="4">
        <v>88</v>
      </c>
      <c r="K12" s="4">
        <v>86</v>
      </c>
      <c r="L12" s="4">
        <v>90</v>
      </c>
      <c r="M12" s="4">
        <v>93</v>
      </c>
      <c r="N12" s="4">
        <v>89</v>
      </c>
      <c r="O12" s="4">
        <v>91</v>
      </c>
      <c r="P12" s="4">
        <v>90</v>
      </c>
      <c r="Q12" s="4">
        <v>90</v>
      </c>
      <c r="R12" s="4">
        <v>92</v>
      </c>
      <c r="S12" s="5">
        <f t="shared" si="0"/>
        <v>90.384615384615387</v>
      </c>
      <c r="T12" s="4">
        <v>0</v>
      </c>
      <c r="U12" s="4">
        <v>0</v>
      </c>
      <c r="V12" s="4">
        <v>0</v>
      </c>
      <c r="W12" s="17" t="s">
        <v>538</v>
      </c>
      <c r="X12" s="4" t="s">
        <v>38</v>
      </c>
      <c r="Y12" s="4" t="s">
        <v>43</v>
      </c>
      <c r="Z12" s="4"/>
      <c r="AA12" s="4"/>
      <c r="AB12" s="4"/>
      <c r="AC12" s="4" t="s">
        <v>43</v>
      </c>
      <c r="AD12" s="4"/>
      <c r="AE12" s="4"/>
      <c r="AF12" s="4" t="s">
        <v>43</v>
      </c>
      <c r="AG12" s="4"/>
      <c r="AH12" s="11"/>
      <c r="AI12" s="20" t="s">
        <v>544</v>
      </c>
      <c r="AK12" s="18"/>
    </row>
    <row r="13" spans="1:37" x14ac:dyDescent="0.35">
      <c r="A13" s="4">
        <v>6</v>
      </c>
      <c r="B13" s="4" t="s">
        <v>118</v>
      </c>
      <c r="C13" s="4" t="s">
        <v>119</v>
      </c>
      <c r="D13" s="4">
        <v>4375</v>
      </c>
      <c r="E13" s="4">
        <v>80</v>
      </c>
      <c r="F13" s="4"/>
      <c r="G13" s="4">
        <v>90</v>
      </c>
      <c r="H13" s="4">
        <v>88</v>
      </c>
      <c r="I13" s="4">
        <v>83</v>
      </c>
      <c r="J13" s="4">
        <v>84</v>
      </c>
      <c r="K13" s="4">
        <v>91</v>
      </c>
      <c r="L13" s="4">
        <v>90</v>
      </c>
      <c r="M13" s="4">
        <v>86</v>
      </c>
      <c r="N13" s="4">
        <v>84</v>
      </c>
      <c r="O13" s="4">
        <v>85</v>
      </c>
      <c r="P13" s="4">
        <v>81</v>
      </c>
      <c r="Q13" s="4">
        <v>78</v>
      </c>
      <c r="R13" s="4">
        <v>80</v>
      </c>
      <c r="S13" s="5">
        <f t="shared" si="0"/>
        <v>84.615384615384613</v>
      </c>
      <c r="T13" s="4">
        <v>1</v>
      </c>
      <c r="U13" s="4">
        <v>0</v>
      </c>
      <c r="V13" s="4">
        <v>3</v>
      </c>
      <c r="W13" s="17" t="s">
        <v>537</v>
      </c>
      <c r="X13" s="4" t="s">
        <v>38</v>
      </c>
      <c r="Y13" s="4"/>
      <c r="Z13" s="4"/>
      <c r="AA13" s="4"/>
      <c r="AB13" s="4"/>
      <c r="AC13" s="4"/>
      <c r="AD13" s="4"/>
      <c r="AE13" s="4"/>
      <c r="AF13" s="4"/>
      <c r="AG13" s="4"/>
      <c r="AH13" s="11"/>
      <c r="AI13" s="20" t="s">
        <v>545</v>
      </c>
      <c r="AK13" s="18"/>
    </row>
    <row r="14" spans="1:37" x14ac:dyDescent="0.35">
      <c r="A14" s="4">
        <v>7</v>
      </c>
      <c r="B14" s="4" t="s">
        <v>120</v>
      </c>
      <c r="C14" s="4" t="s">
        <v>121</v>
      </c>
      <c r="D14" s="4">
        <v>4380</v>
      </c>
      <c r="E14" s="4">
        <v>86</v>
      </c>
      <c r="F14" s="4"/>
      <c r="G14" s="4">
        <v>91</v>
      </c>
      <c r="H14" s="4">
        <v>91</v>
      </c>
      <c r="I14" s="4">
        <v>88</v>
      </c>
      <c r="J14" s="4">
        <v>87</v>
      </c>
      <c r="K14" s="4">
        <v>88</v>
      </c>
      <c r="L14" s="4">
        <v>90</v>
      </c>
      <c r="M14" s="4">
        <v>89</v>
      </c>
      <c r="N14" s="4">
        <v>88</v>
      </c>
      <c r="O14" s="4">
        <v>87</v>
      </c>
      <c r="P14" s="4">
        <v>84</v>
      </c>
      <c r="Q14" s="4">
        <v>82</v>
      </c>
      <c r="R14" s="4">
        <v>88</v>
      </c>
      <c r="S14" s="5">
        <f t="shared" si="0"/>
        <v>87.615384615384613</v>
      </c>
      <c r="T14" s="4">
        <v>2</v>
      </c>
      <c r="U14" s="4">
        <v>0</v>
      </c>
      <c r="V14" s="4">
        <v>0</v>
      </c>
      <c r="W14" s="17" t="s">
        <v>537</v>
      </c>
      <c r="X14" s="4" t="s">
        <v>38</v>
      </c>
      <c r="Y14" s="4"/>
      <c r="Z14" s="4"/>
      <c r="AA14" s="4"/>
      <c r="AB14" s="4"/>
      <c r="AC14" s="4"/>
      <c r="AD14" s="4"/>
      <c r="AE14" s="4"/>
      <c r="AF14" s="4"/>
      <c r="AG14" s="4"/>
      <c r="AH14" s="11"/>
      <c r="AI14" s="20" t="s">
        <v>545</v>
      </c>
      <c r="AK14" s="18"/>
    </row>
    <row r="15" spans="1:37" x14ac:dyDescent="0.35">
      <c r="A15" s="4">
        <v>8</v>
      </c>
      <c r="B15" s="4" t="s">
        <v>122</v>
      </c>
      <c r="C15" s="4" t="s">
        <v>123</v>
      </c>
      <c r="D15" s="4">
        <v>4386</v>
      </c>
      <c r="E15" s="4">
        <v>85</v>
      </c>
      <c r="F15" s="4"/>
      <c r="G15" s="4">
        <v>88</v>
      </c>
      <c r="H15" s="4">
        <v>88</v>
      </c>
      <c r="I15" s="4">
        <v>83</v>
      </c>
      <c r="J15" s="4">
        <v>83</v>
      </c>
      <c r="K15" s="4">
        <v>88</v>
      </c>
      <c r="L15" s="4">
        <v>88</v>
      </c>
      <c r="M15" s="4">
        <v>88</v>
      </c>
      <c r="N15" s="4">
        <v>86</v>
      </c>
      <c r="O15" s="4">
        <v>87</v>
      </c>
      <c r="P15" s="4">
        <v>83</v>
      </c>
      <c r="Q15" s="4">
        <v>82</v>
      </c>
      <c r="R15" s="4">
        <v>86</v>
      </c>
      <c r="S15" s="5">
        <f t="shared" si="0"/>
        <v>85.769230769230774</v>
      </c>
      <c r="T15" s="4">
        <v>1</v>
      </c>
      <c r="U15" s="4">
        <v>1</v>
      </c>
      <c r="V15" s="4">
        <v>2</v>
      </c>
      <c r="W15" s="17" t="s">
        <v>537</v>
      </c>
      <c r="X15" s="4" t="s">
        <v>38</v>
      </c>
      <c r="Y15" s="4"/>
      <c r="Z15" s="4"/>
      <c r="AA15" s="4"/>
      <c r="AB15" s="4"/>
      <c r="AC15" s="4"/>
      <c r="AD15" s="4"/>
      <c r="AE15" s="4"/>
      <c r="AF15" s="4"/>
      <c r="AG15" s="4"/>
      <c r="AH15" s="11"/>
      <c r="AI15" s="20" t="s">
        <v>545</v>
      </c>
      <c r="AK15" s="18"/>
    </row>
    <row r="16" spans="1:37" x14ac:dyDescent="0.35">
      <c r="A16" s="4">
        <v>9</v>
      </c>
      <c r="B16" s="4" t="s">
        <v>124</v>
      </c>
      <c r="C16" s="4" t="s">
        <v>125</v>
      </c>
      <c r="D16" s="4">
        <v>4390</v>
      </c>
      <c r="E16" s="4">
        <v>85</v>
      </c>
      <c r="F16" s="4"/>
      <c r="G16" s="4">
        <v>89</v>
      </c>
      <c r="H16" s="4">
        <v>91</v>
      </c>
      <c r="I16" s="4">
        <v>81</v>
      </c>
      <c r="J16" s="4">
        <v>83</v>
      </c>
      <c r="K16" s="4">
        <v>85</v>
      </c>
      <c r="L16" s="4">
        <v>88</v>
      </c>
      <c r="M16" s="4">
        <v>89</v>
      </c>
      <c r="N16" s="4">
        <v>86</v>
      </c>
      <c r="O16" s="4">
        <v>85</v>
      </c>
      <c r="P16" s="4">
        <v>83</v>
      </c>
      <c r="Q16" s="4">
        <v>79</v>
      </c>
      <c r="R16" s="4">
        <v>81</v>
      </c>
      <c r="S16" s="5">
        <f t="shared" si="0"/>
        <v>85</v>
      </c>
      <c r="T16" s="4">
        <v>2</v>
      </c>
      <c r="U16" s="4">
        <v>0</v>
      </c>
      <c r="V16" s="4">
        <v>1</v>
      </c>
      <c r="W16" s="17" t="s">
        <v>537</v>
      </c>
      <c r="X16" s="4" t="s">
        <v>38</v>
      </c>
      <c r="Y16" s="4"/>
      <c r="Z16" s="4"/>
      <c r="AA16" s="4"/>
      <c r="AB16" s="4"/>
      <c r="AC16" s="4"/>
      <c r="AD16" s="4"/>
      <c r="AE16" s="4"/>
      <c r="AF16" s="4"/>
      <c r="AG16" s="4"/>
      <c r="AH16" s="11"/>
      <c r="AI16" s="20" t="s">
        <v>545</v>
      </c>
      <c r="AK16" s="18"/>
    </row>
    <row r="17" spans="1:37" x14ac:dyDescent="0.35">
      <c r="A17" s="4">
        <v>10</v>
      </c>
      <c r="B17" s="4" t="s">
        <v>126</v>
      </c>
      <c r="C17" s="4" t="s">
        <v>127</v>
      </c>
      <c r="D17" s="4">
        <v>4398</v>
      </c>
      <c r="E17" s="4">
        <v>84</v>
      </c>
      <c r="F17" s="4"/>
      <c r="G17" s="4">
        <v>89</v>
      </c>
      <c r="H17" s="4">
        <v>91</v>
      </c>
      <c r="I17" s="4">
        <v>81</v>
      </c>
      <c r="J17" s="4">
        <v>84</v>
      </c>
      <c r="K17" s="4">
        <v>87</v>
      </c>
      <c r="L17" s="4">
        <v>86</v>
      </c>
      <c r="M17" s="4">
        <v>89</v>
      </c>
      <c r="N17" s="4">
        <v>87</v>
      </c>
      <c r="O17" s="4">
        <v>85</v>
      </c>
      <c r="P17" s="4">
        <v>83</v>
      </c>
      <c r="Q17" s="4">
        <v>82</v>
      </c>
      <c r="R17" s="4">
        <v>82</v>
      </c>
      <c r="S17" s="5">
        <f t="shared" si="0"/>
        <v>85.384615384615387</v>
      </c>
      <c r="T17" s="4">
        <v>3</v>
      </c>
      <c r="U17" s="4">
        <v>0</v>
      </c>
      <c r="V17" s="4">
        <v>1</v>
      </c>
      <c r="W17" s="17" t="s">
        <v>537</v>
      </c>
      <c r="X17" s="4" t="s">
        <v>38</v>
      </c>
      <c r="Y17" s="4"/>
      <c r="Z17" s="4"/>
      <c r="AA17" s="4"/>
      <c r="AB17" s="4"/>
      <c r="AC17" s="4"/>
      <c r="AD17" s="4"/>
      <c r="AE17" s="4"/>
      <c r="AF17" s="4"/>
      <c r="AG17" s="4"/>
      <c r="AH17" s="11"/>
      <c r="AI17" s="20" t="s">
        <v>545</v>
      </c>
      <c r="AK17" s="18"/>
    </row>
    <row r="18" spans="1:37" x14ac:dyDescent="0.35">
      <c r="A18" s="4">
        <v>11</v>
      </c>
      <c r="B18" s="4" t="s">
        <v>128</v>
      </c>
      <c r="C18" s="4" t="s">
        <v>129</v>
      </c>
      <c r="D18" s="4">
        <v>4399</v>
      </c>
      <c r="E18" s="4">
        <v>85</v>
      </c>
      <c r="F18" s="4"/>
      <c r="G18" s="4">
        <v>90</v>
      </c>
      <c r="H18" s="4">
        <v>91</v>
      </c>
      <c r="I18" s="4">
        <v>90</v>
      </c>
      <c r="J18" s="4">
        <v>85</v>
      </c>
      <c r="K18" s="4">
        <v>87</v>
      </c>
      <c r="L18" s="4">
        <v>87</v>
      </c>
      <c r="M18" s="4">
        <v>89</v>
      </c>
      <c r="N18" s="4">
        <v>88</v>
      </c>
      <c r="O18" s="4">
        <v>85</v>
      </c>
      <c r="P18" s="4">
        <v>85</v>
      </c>
      <c r="Q18" s="4">
        <v>84</v>
      </c>
      <c r="R18" s="4">
        <v>86</v>
      </c>
      <c r="S18" s="5">
        <f t="shared" si="0"/>
        <v>87.07692307692308</v>
      </c>
      <c r="T18" s="4">
        <v>2</v>
      </c>
      <c r="U18" s="4">
        <v>0</v>
      </c>
      <c r="V18" s="4">
        <v>0</v>
      </c>
      <c r="W18" s="17" t="s">
        <v>537</v>
      </c>
      <c r="X18" s="4" t="s">
        <v>38</v>
      </c>
      <c r="Y18" s="4"/>
      <c r="Z18" s="4"/>
      <c r="AA18" s="4"/>
      <c r="AB18" s="4"/>
      <c r="AC18" s="4"/>
      <c r="AD18" s="4"/>
      <c r="AE18" s="4"/>
      <c r="AF18" s="4"/>
      <c r="AG18" s="4"/>
      <c r="AH18" s="11"/>
      <c r="AI18" s="20" t="s">
        <v>545</v>
      </c>
      <c r="AK18" s="18"/>
    </row>
    <row r="19" spans="1:37" x14ac:dyDescent="0.35">
      <c r="A19" s="4">
        <v>12</v>
      </c>
      <c r="B19" s="4" t="s">
        <v>130</v>
      </c>
      <c r="C19" s="4" t="s">
        <v>131</v>
      </c>
      <c r="D19" s="4">
        <v>4406</v>
      </c>
      <c r="E19" s="4">
        <v>87</v>
      </c>
      <c r="F19" s="4"/>
      <c r="G19" s="4">
        <v>92</v>
      </c>
      <c r="H19" s="4">
        <v>91</v>
      </c>
      <c r="I19" s="4">
        <v>90</v>
      </c>
      <c r="J19" s="4">
        <v>85</v>
      </c>
      <c r="K19" s="4">
        <v>85</v>
      </c>
      <c r="L19" s="4">
        <v>88</v>
      </c>
      <c r="M19" s="4">
        <v>91</v>
      </c>
      <c r="N19" s="4">
        <v>89</v>
      </c>
      <c r="O19" s="4">
        <v>89</v>
      </c>
      <c r="P19" s="4">
        <v>88</v>
      </c>
      <c r="Q19" s="4">
        <v>87</v>
      </c>
      <c r="R19" s="4">
        <v>90</v>
      </c>
      <c r="S19" s="5">
        <f t="shared" si="0"/>
        <v>88.615384615384613</v>
      </c>
      <c r="T19" s="4">
        <v>1</v>
      </c>
      <c r="U19" s="4">
        <v>0</v>
      </c>
      <c r="V19" s="4">
        <v>0</v>
      </c>
      <c r="W19" s="17" t="s">
        <v>538</v>
      </c>
      <c r="X19" s="4" t="s">
        <v>38</v>
      </c>
      <c r="Y19" s="4"/>
      <c r="Z19" s="4"/>
      <c r="AA19" s="4"/>
      <c r="AB19" s="4"/>
      <c r="AC19" s="4"/>
      <c r="AD19" s="4"/>
      <c r="AE19" s="4"/>
      <c r="AF19" s="4"/>
      <c r="AG19" s="4"/>
      <c r="AH19" s="11"/>
      <c r="AI19" s="20" t="s">
        <v>545</v>
      </c>
      <c r="AK19" s="18"/>
    </row>
    <row r="20" spans="1:37" x14ac:dyDescent="0.35">
      <c r="A20" s="4">
        <v>13</v>
      </c>
      <c r="B20" s="4" t="s">
        <v>132</v>
      </c>
      <c r="C20" s="4" t="s">
        <v>133</v>
      </c>
      <c r="D20" s="4">
        <v>4414</v>
      </c>
      <c r="E20" s="4">
        <v>86</v>
      </c>
      <c r="F20" s="4"/>
      <c r="G20" s="4">
        <v>88</v>
      </c>
      <c r="H20" s="4">
        <v>88</v>
      </c>
      <c r="I20" s="4">
        <v>83</v>
      </c>
      <c r="J20" s="4">
        <v>83</v>
      </c>
      <c r="K20" s="4">
        <v>87</v>
      </c>
      <c r="L20" s="4">
        <v>87</v>
      </c>
      <c r="M20" s="4">
        <v>87</v>
      </c>
      <c r="N20" s="4">
        <v>88</v>
      </c>
      <c r="O20" s="4">
        <v>86</v>
      </c>
      <c r="P20" s="4">
        <v>85</v>
      </c>
      <c r="Q20" s="4">
        <v>82</v>
      </c>
      <c r="R20" s="4">
        <v>81</v>
      </c>
      <c r="S20" s="5">
        <f t="shared" si="0"/>
        <v>85.461538461538467</v>
      </c>
      <c r="T20" s="4">
        <v>2</v>
      </c>
      <c r="U20" s="4">
        <v>0</v>
      </c>
      <c r="V20" s="4">
        <v>1</v>
      </c>
      <c r="W20" s="17" t="s">
        <v>538</v>
      </c>
      <c r="X20" s="4" t="s">
        <v>38</v>
      </c>
      <c r="Y20" s="4"/>
      <c r="Z20" s="4"/>
      <c r="AA20" s="4"/>
      <c r="AB20" s="4"/>
      <c r="AC20" s="4"/>
      <c r="AD20" s="4"/>
      <c r="AE20" s="4"/>
      <c r="AF20" s="4" t="s">
        <v>43</v>
      </c>
      <c r="AG20" s="4"/>
      <c r="AH20" s="11"/>
      <c r="AI20" s="20" t="s">
        <v>545</v>
      </c>
      <c r="AK20" s="18"/>
    </row>
    <row r="21" spans="1:37" x14ac:dyDescent="0.35">
      <c r="A21" s="4">
        <v>14</v>
      </c>
      <c r="B21" s="4" t="s">
        <v>134</v>
      </c>
      <c r="C21" s="4" t="s">
        <v>135</v>
      </c>
      <c r="D21" s="4">
        <v>4416</v>
      </c>
      <c r="E21" s="4">
        <v>87</v>
      </c>
      <c r="F21" s="4"/>
      <c r="G21" s="4">
        <v>91</v>
      </c>
      <c r="H21" s="4">
        <v>91</v>
      </c>
      <c r="I21" s="4">
        <v>90</v>
      </c>
      <c r="J21" s="4">
        <v>88</v>
      </c>
      <c r="K21" s="4">
        <v>89</v>
      </c>
      <c r="L21" s="4">
        <v>88</v>
      </c>
      <c r="M21" s="4">
        <v>91</v>
      </c>
      <c r="N21" s="4">
        <v>90</v>
      </c>
      <c r="O21" s="4">
        <v>89</v>
      </c>
      <c r="P21" s="4">
        <v>89</v>
      </c>
      <c r="Q21" s="4">
        <v>90</v>
      </c>
      <c r="R21" s="4">
        <v>90</v>
      </c>
      <c r="S21" s="5">
        <f t="shared" si="0"/>
        <v>89.461538461538467</v>
      </c>
      <c r="T21" s="4">
        <v>0</v>
      </c>
      <c r="U21" s="4">
        <v>3</v>
      </c>
      <c r="V21" s="4">
        <v>0</v>
      </c>
      <c r="W21" s="17" t="s">
        <v>538</v>
      </c>
      <c r="X21" s="4" t="s">
        <v>38</v>
      </c>
      <c r="Y21" s="4"/>
      <c r="Z21" s="4"/>
      <c r="AA21" s="4" t="s">
        <v>43</v>
      </c>
      <c r="AB21" s="4"/>
      <c r="AC21" s="4"/>
      <c r="AD21" s="4"/>
      <c r="AE21" s="4"/>
      <c r="AF21" s="4" t="s">
        <v>43</v>
      </c>
      <c r="AG21" s="4" t="s">
        <v>38</v>
      </c>
      <c r="AH21" s="11" t="s">
        <v>43</v>
      </c>
      <c r="AI21" s="20" t="s">
        <v>543</v>
      </c>
      <c r="AK21" s="18"/>
    </row>
    <row r="22" spans="1:37" x14ac:dyDescent="0.35">
      <c r="A22" s="4">
        <v>15</v>
      </c>
      <c r="B22" s="4" t="s">
        <v>136</v>
      </c>
      <c r="C22" s="4" t="s">
        <v>137</v>
      </c>
      <c r="D22" s="4">
        <v>4419</v>
      </c>
      <c r="E22" s="4">
        <v>80</v>
      </c>
      <c r="F22" s="4"/>
      <c r="G22" s="4">
        <v>89</v>
      </c>
      <c r="H22" s="4">
        <v>83</v>
      </c>
      <c r="I22" s="4">
        <v>82</v>
      </c>
      <c r="J22" s="4">
        <v>82</v>
      </c>
      <c r="K22" s="4">
        <v>86</v>
      </c>
      <c r="L22" s="4">
        <v>90</v>
      </c>
      <c r="M22" s="4">
        <v>85</v>
      </c>
      <c r="N22" s="4">
        <v>87</v>
      </c>
      <c r="O22" s="4">
        <v>85</v>
      </c>
      <c r="P22" s="4">
        <v>81</v>
      </c>
      <c r="Q22" s="4">
        <v>79</v>
      </c>
      <c r="R22" s="4">
        <v>82</v>
      </c>
      <c r="S22" s="5">
        <f t="shared" si="0"/>
        <v>83.92307692307692</v>
      </c>
      <c r="T22" s="4">
        <v>2</v>
      </c>
      <c r="U22" s="4">
        <v>0</v>
      </c>
      <c r="V22" s="4">
        <v>3</v>
      </c>
      <c r="W22" s="17" t="s">
        <v>537</v>
      </c>
      <c r="X22" s="4" t="s">
        <v>38</v>
      </c>
      <c r="Y22" s="4"/>
      <c r="Z22" s="4"/>
      <c r="AA22" s="4"/>
      <c r="AB22" s="4"/>
      <c r="AC22" s="4"/>
      <c r="AD22" s="4"/>
      <c r="AE22" s="4"/>
      <c r="AF22" s="4"/>
      <c r="AG22" s="4"/>
      <c r="AH22" s="11"/>
      <c r="AI22" s="20" t="s">
        <v>545</v>
      </c>
      <c r="AK22" s="18"/>
    </row>
    <row r="23" spans="1:37" x14ac:dyDescent="0.35">
      <c r="A23" s="4">
        <v>16</v>
      </c>
      <c r="B23" s="4" t="s">
        <v>138</v>
      </c>
      <c r="C23" s="4" t="s">
        <v>139</v>
      </c>
      <c r="D23" s="4">
        <v>4428</v>
      </c>
      <c r="E23" s="4">
        <v>78</v>
      </c>
      <c r="F23" s="4"/>
      <c r="G23" s="4">
        <v>85</v>
      </c>
      <c r="H23" s="4">
        <v>83</v>
      </c>
      <c r="I23" s="4">
        <v>82</v>
      </c>
      <c r="J23" s="4">
        <v>81</v>
      </c>
      <c r="K23" s="4">
        <v>90</v>
      </c>
      <c r="L23" s="4">
        <v>89</v>
      </c>
      <c r="M23" s="4">
        <v>85</v>
      </c>
      <c r="N23" s="4">
        <v>85</v>
      </c>
      <c r="O23" s="4">
        <v>85</v>
      </c>
      <c r="P23" s="4">
        <v>81</v>
      </c>
      <c r="Q23" s="4">
        <v>78</v>
      </c>
      <c r="R23" s="4">
        <v>78</v>
      </c>
      <c r="S23" s="5">
        <f t="shared" si="0"/>
        <v>83.07692307692308</v>
      </c>
      <c r="T23" s="4">
        <v>0</v>
      </c>
      <c r="U23" s="4">
        <v>0</v>
      </c>
      <c r="V23" s="4">
        <v>4</v>
      </c>
      <c r="W23" s="17" t="s">
        <v>537</v>
      </c>
      <c r="X23" s="4" t="s">
        <v>38</v>
      </c>
      <c r="Y23" s="4"/>
      <c r="Z23" s="4"/>
      <c r="AA23" s="4"/>
      <c r="AB23" s="4"/>
      <c r="AC23" s="4"/>
      <c r="AD23" s="4"/>
      <c r="AE23" s="4"/>
      <c r="AF23" s="4"/>
      <c r="AG23" s="4"/>
      <c r="AH23" s="11"/>
      <c r="AI23" s="20" t="s">
        <v>545</v>
      </c>
      <c r="AK23" s="18"/>
    </row>
    <row r="24" spans="1:37" x14ac:dyDescent="0.35">
      <c r="A24" s="4">
        <v>17</v>
      </c>
      <c r="B24" s="4" t="s">
        <v>140</v>
      </c>
      <c r="C24" s="4" t="s">
        <v>141</v>
      </c>
      <c r="D24" s="4">
        <v>4436</v>
      </c>
      <c r="E24" s="4"/>
      <c r="F24" s="4">
        <v>86</v>
      </c>
      <c r="G24" s="4">
        <v>89</v>
      </c>
      <c r="H24" s="4">
        <v>88</v>
      </c>
      <c r="I24" s="4">
        <v>84</v>
      </c>
      <c r="J24" s="4">
        <v>81</v>
      </c>
      <c r="K24" s="4">
        <v>85</v>
      </c>
      <c r="L24" s="4">
        <v>89</v>
      </c>
      <c r="M24" s="4">
        <v>86</v>
      </c>
      <c r="N24" s="4">
        <v>88</v>
      </c>
      <c r="O24" s="4">
        <v>85</v>
      </c>
      <c r="P24" s="4">
        <v>83</v>
      </c>
      <c r="Q24" s="4">
        <v>82</v>
      </c>
      <c r="R24" s="4">
        <v>81</v>
      </c>
      <c r="S24" s="5">
        <f t="shared" si="0"/>
        <v>85.15384615384616</v>
      </c>
      <c r="T24" s="4">
        <v>0</v>
      </c>
      <c r="U24" s="4">
        <v>5</v>
      </c>
      <c r="V24" s="4">
        <v>0</v>
      </c>
      <c r="W24" s="17" t="s">
        <v>537</v>
      </c>
      <c r="X24" s="4" t="s">
        <v>38</v>
      </c>
      <c r="Y24" s="4"/>
      <c r="Z24" s="4"/>
      <c r="AA24" s="4"/>
      <c r="AB24" s="4"/>
      <c r="AC24" s="4"/>
      <c r="AD24" s="4"/>
      <c r="AE24" s="4"/>
      <c r="AF24" s="4"/>
      <c r="AG24" s="4"/>
      <c r="AH24" s="11"/>
      <c r="AI24" s="20" t="s">
        <v>545</v>
      </c>
      <c r="AK24" s="18"/>
    </row>
    <row r="25" spans="1:37" x14ac:dyDescent="0.35">
      <c r="A25" s="4">
        <v>18</v>
      </c>
      <c r="B25" s="4" t="s">
        <v>142</v>
      </c>
      <c r="C25" s="4" t="s">
        <v>143</v>
      </c>
      <c r="D25" s="4">
        <v>4449</v>
      </c>
      <c r="E25" s="4">
        <v>85</v>
      </c>
      <c r="F25" s="4"/>
      <c r="G25" s="4">
        <v>89</v>
      </c>
      <c r="H25" s="4">
        <v>91</v>
      </c>
      <c r="I25" s="4">
        <v>82</v>
      </c>
      <c r="J25" s="4">
        <v>87</v>
      </c>
      <c r="K25" s="4">
        <v>85</v>
      </c>
      <c r="L25" s="4">
        <v>88</v>
      </c>
      <c r="M25" s="4">
        <v>88</v>
      </c>
      <c r="N25" s="4">
        <v>88</v>
      </c>
      <c r="O25" s="4">
        <v>87</v>
      </c>
      <c r="P25" s="4">
        <v>85</v>
      </c>
      <c r="Q25" s="4">
        <v>84</v>
      </c>
      <c r="R25" s="4">
        <v>83</v>
      </c>
      <c r="S25" s="5">
        <f t="shared" si="0"/>
        <v>86.307692307692307</v>
      </c>
      <c r="T25" s="4">
        <v>1</v>
      </c>
      <c r="U25" s="4">
        <v>0</v>
      </c>
      <c r="V25" s="4">
        <v>2</v>
      </c>
      <c r="W25" s="17" t="s">
        <v>537</v>
      </c>
      <c r="X25" s="4" t="s">
        <v>38</v>
      </c>
      <c r="Y25" s="4"/>
      <c r="Z25" s="4"/>
      <c r="AA25" s="4"/>
      <c r="AB25" s="4"/>
      <c r="AC25" s="4"/>
      <c r="AD25" s="4"/>
      <c r="AE25" s="4"/>
      <c r="AF25" s="4"/>
      <c r="AG25" s="4"/>
      <c r="AH25" s="11"/>
      <c r="AI25" s="20" t="s">
        <v>545</v>
      </c>
      <c r="AK25" s="18"/>
    </row>
    <row r="26" spans="1:37" x14ac:dyDescent="0.35">
      <c r="A26" s="4">
        <v>19</v>
      </c>
      <c r="B26" s="4" t="s">
        <v>144</v>
      </c>
      <c r="C26" s="4" t="s">
        <v>145</v>
      </c>
      <c r="D26" s="4">
        <v>4459</v>
      </c>
      <c r="E26" s="4">
        <v>82</v>
      </c>
      <c r="F26" s="4"/>
      <c r="G26" s="4">
        <v>90</v>
      </c>
      <c r="H26" s="4">
        <v>83</v>
      </c>
      <c r="I26" s="4">
        <v>84</v>
      </c>
      <c r="J26" s="4">
        <v>84</v>
      </c>
      <c r="K26" s="4">
        <v>91</v>
      </c>
      <c r="L26" s="4">
        <v>89</v>
      </c>
      <c r="M26" s="4">
        <v>86</v>
      </c>
      <c r="N26" s="4">
        <v>86</v>
      </c>
      <c r="O26" s="4">
        <v>86</v>
      </c>
      <c r="P26" s="4">
        <v>84</v>
      </c>
      <c r="Q26" s="4">
        <v>80</v>
      </c>
      <c r="R26" s="4">
        <v>81</v>
      </c>
      <c r="S26" s="5">
        <f t="shared" si="0"/>
        <v>85.07692307692308</v>
      </c>
      <c r="T26" s="4">
        <v>1</v>
      </c>
      <c r="U26" s="4">
        <v>0</v>
      </c>
      <c r="V26" s="4">
        <v>0</v>
      </c>
      <c r="W26" s="17" t="s">
        <v>537</v>
      </c>
      <c r="X26" s="4" t="s">
        <v>38</v>
      </c>
      <c r="Y26" s="4"/>
      <c r="Z26" s="4"/>
      <c r="AA26" s="4"/>
      <c r="AB26" s="4"/>
      <c r="AC26" s="4"/>
      <c r="AD26" s="4"/>
      <c r="AE26" s="4"/>
      <c r="AF26" s="4"/>
      <c r="AG26" s="4"/>
      <c r="AH26" s="11"/>
      <c r="AI26" s="20" t="s">
        <v>545</v>
      </c>
      <c r="AK26" s="18"/>
    </row>
    <row r="27" spans="1:37" x14ac:dyDescent="0.35">
      <c r="A27" s="4">
        <v>20</v>
      </c>
      <c r="B27" s="4" t="s">
        <v>146</v>
      </c>
      <c r="C27" s="4" t="s">
        <v>147</v>
      </c>
      <c r="D27" s="4">
        <v>4462</v>
      </c>
      <c r="E27" s="4">
        <v>79</v>
      </c>
      <c r="F27" s="4"/>
      <c r="G27" s="4">
        <v>89</v>
      </c>
      <c r="H27" s="4">
        <v>83</v>
      </c>
      <c r="I27" s="4">
        <v>80</v>
      </c>
      <c r="J27" s="4">
        <v>80</v>
      </c>
      <c r="K27" s="4">
        <v>85</v>
      </c>
      <c r="L27" s="4">
        <v>90</v>
      </c>
      <c r="M27" s="4">
        <v>86</v>
      </c>
      <c r="N27" s="4">
        <v>85</v>
      </c>
      <c r="O27" s="4">
        <v>85</v>
      </c>
      <c r="P27" s="4">
        <v>81</v>
      </c>
      <c r="Q27" s="4">
        <v>78</v>
      </c>
      <c r="R27" s="4">
        <v>76</v>
      </c>
      <c r="S27" s="5">
        <f t="shared" si="0"/>
        <v>82.84615384615384</v>
      </c>
      <c r="T27" s="4">
        <v>1</v>
      </c>
      <c r="U27" s="4">
        <v>0</v>
      </c>
      <c r="V27" s="4">
        <v>4</v>
      </c>
      <c r="W27" s="17" t="s">
        <v>537</v>
      </c>
      <c r="X27" s="4" t="s">
        <v>38</v>
      </c>
      <c r="Y27" s="4"/>
      <c r="Z27" s="4"/>
      <c r="AA27" s="4"/>
      <c r="AB27" s="4"/>
      <c r="AC27" s="4"/>
      <c r="AD27" s="4"/>
      <c r="AE27" s="4"/>
      <c r="AF27" s="4"/>
      <c r="AG27" s="4"/>
      <c r="AH27" s="11"/>
      <c r="AI27" s="20" t="s">
        <v>545</v>
      </c>
      <c r="AK27" s="18"/>
    </row>
    <row r="28" spans="1:37" x14ac:dyDescent="0.35">
      <c r="A28" s="4">
        <v>21</v>
      </c>
      <c r="B28" s="4" t="s">
        <v>148</v>
      </c>
      <c r="C28" s="4" t="s">
        <v>149</v>
      </c>
      <c r="D28" s="4">
        <v>4471</v>
      </c>
      <c r="E28" s="4"/>
      <c r="F28" s="4">
        <v>89</v>
      </c>
      <c r="G28" s="4">
        <v>90</v>
      </c>
      <c r="H28" s="4">
        <v>88</v>
      </c>
      <c r="I28" s="4">
        <v>85</v>
      </c>
      <c r="J28" s="4">
        <v>82</v>
      </c>
      <c r="K28" s="4">
        <v>85</v>
      </c>
      <c r="L28" s="4">
        <v>89</v>
      </c>
      <c r="M28" s="4">
        <v>90</v>
      </c>
      <c r="N28" s="4">
        <v>88</v>
      </c>
      <c r="O28" s="4">
        <v>87</v>
      </c>
      <c r="P28" s="4">
        <v>86</v>
      </c>
      <c r="Q28" s="4">
        <v>85</v>
      </c>
      <c r="R28" s="4">
        <v>84</v>
      </c>
      <c r="S28" s="5">
        <f t="shared" si="0"/>
        <v>86.769230769230774</v>
      </c>
      <c r="T28" s="4">
        <v>0</v>
      </c>
      <c r="U28" s="4">
        <v>4</v>
      </c>
      <c r="V28" s="4">
        <v>1</v>
      </c>
      <c r="W28" s="17" t="s">
        <v>537</v>
      </c>
      <c r="X28" s="4" t="s">
        <v>38</v>
      </c>
      <c r="Y28" s="4"/>
      <c r="Z28" s="4"/>
      <c r="AA28" s="4"/>
      <c r="AB28" s="4"/>
      <c r="AC28" s="4"/>
      <c r="AD28" s="4"/>
      <c r="AE28" s="4"/>
      <c r="AF28" s="4"/>
      <c r="AG28" s="4"/>
      <c r="AH28" s="11"/>
      <c r="AI28" s="20" t="s">
        <v>545</v>
      </c>
      <c r="AK28" s="18"/>
    </row>
    <row r="29" spans="1:37" x14ac:dyDescent="0.35">
      <c r="A29" s="4">
        <v>22</v>
      </c>
      <c r="B29" s="4" t="s">
        <v>150</v>
      </c>
      <c r="C29" s="4" t="s">
        <v>151</v>
      </c>
      <c r="D29" s="4">
        <v>4483</v>
      </c>
      <c r="E29" s="4">
        <v>85</v>
      </c>
      <c r="F29" s="4"/>
      <c r="G29" s="4">
        <v>90</v>
      </c>
      <c r="H29" s="4">
        <v>88</v>
      </c>
      <c r="I29" s="4">
        <v>85</v>
      </c>
      <c r="J29" s="4">
        <v>83</v>
      </c>
      <c r="K29" s="4">
        <v>85</v>
      </c>
      <c r="L29" s="4">
        <v>88</v>
      </c>
      <c r="M29" s="4">
        <v>88</v>
      </c>
      <c r="N29" s="4">
        <v>88</v>
      </c>
      <c r="O29" s="4">
        <v>86</v>
      </c>
      <c r="P29" s="4">
        <v>83</v>
      </c>
      <c r="Q29" s="4">
        <v>82</v>
      </c>
      <c r="R29" s="4">
        <v>84</v>
      </c>
      <c r="S29" s="5">
        <f t="shared" si="0"/>
        <v>85.769230769230774</v>
      </c>
      <c r="T29" s="4">
        <v>1</v>
      </c>
      <c r="U29" s="4">
        <v>1</v>
      </c>
      <c r="V29" s="4">
        <v>0</v>
      </c>
      <c r="W29" s="17" t="s">
        <v>537</v>
      </c>
      <c r="X29" s="4" t="s">
        <v>38</v>
      </c>
      <c r="Y29" s="4"/>
      <c r="Z29" s="4"/>
      <c r="AA29" s="4"/>
      <c r="AB29" s="4"/>
      <c r="AC29" s="4"/>
      <c r="AD29" s="4"/>
      <c r="AE29" s="4"/>
      <c r="AF29" s="4"/>
      <c r="AG29" s="4"/>
      <c r="AH29" s="11"/>
      <c r="AI29" s="20" t="s">
        <v>545</v>
      </c>
      <c r="AK29" s="18"/>
    </row>
    <row r="30" spans="1:37" x14ac:dyDescent="0.35">
      <c r="A30" s="4">
        <v>23</v>
      </c>
      <c r="B30" s="4" t="s">
        <v>152</v>
      </c>
      <c r="C30" s="4" t="s">
        <v>153</v>
      </c>
      <c r="D30" s="4">
        <v>4493</v>
      </c>
      <c r="E30" s="4">
        <v>80</v>
      </c>
      <c r="F30" s="4"/>
      <c r="G30" s="4">
        <v>90</v>
      </c>
      <c r="H30" s="4">
        <v>88</v>
      </c>
      <c r="I30" s="4">
        <v>84</v>
      </c>
      <c r="J30" s="4">
        <v>82</v>
      </c>
      <c r="K30" s="4">
        <v>85</v>
      </c>
      <c r="L30" s="4">
        <v>87</v>
      </c>
      <c r="M30" s="4">
        <v>88</v>
      </c>
      <c r="N30" s="4">
        <v>89</v>
      </c>
      <c r="O30" s="4">
        <v>86</v>
      </c>
      <c r="P30" s="4">
        <v>83</v>
      </c>
      <c r="Q30" s="4">
        <v>82</v>
      </c>
      <c r="R30" s="4">
        <v>83</v>
      </c>
      <c r="S30" s="5">
        <f t="shared" si="0"/>
        <v>85.15384615384616</v>
      </c>
      <c r="T30" s="4">
        <v>1</v>
      </c>
      <c r="U30" s="4">
        <v>0</v>
      </c>
      <c r="V30" s="4">
        <v>1</v>
      </c>
      <c r="W30" s="17" t="s">
        <v>537</v>
      </c>
      <c r="X30" s="4" t="s">
        <v>38</v>
      </c>
      <c r="Y30" s="4"/>
      <c r="Z30" s="4"/>
      <c r="AA30" s="4"/>
      <c r="AB30" s="4"/>
      <c r="AC30" s="4"/>
      <c r="AD30" s="4"/>
      <c r="AE30" s="4"/>
      <c r="AF30" s="4"/>
      <c r="AG30" s="4"/>
      <c r="AH30" s="11"/>
      <c r="AI30" s="20" t="s">
        <v>545</v>
      </c>
      <c r="AK30" s="18"/>
    </row>
    <row r="31" spans="1:37" x14ac:dyDescent="0.35">
      <c r="A31" s="4">
        <v>24</v>
      </c>
      <c r="B31" s="4" t="s">
        <v>154</v>
      </c>
      <c r="C31" s="4" t="s">
        <v>155</v>
      </c>
      <c r="D31" s="4">
        <v>4872</v>
      </c>
      <c r="E31" s="4">
        <v>87</v>
      </c>
      <c r="F31" s="4"/>
      <c r="G31" s="4">
        <v>90</v>
      </c>
      <c r="H31" s="4">
        <v>91</v>
      </c>
      <c r="I31" s="4">
        <v>84</v>
      </c>
      <c r="J31" s="4">
        <v>84</v>
      </c>
      <c r="K31" s="4">
        <v>87</v>
      </c>
      <c r="L31" s="4">
        <v>88</v>
      </c>
      <c r="M31" s="4">
        <v>89</v>
      </c>
      <c r="N31" s="4">
        <v>88</v>
      </c>
      <c r="O31" s="4">
        <v>87</v>
      </c>
      <c r="P31" s="4">
        <v>83</v>
      </c>
      <c r="Q31" s="4">
        <v>84</v>
      </c>
      <c r="R31" s="4">
        <v>88</v>
      </c>
      <c r="S31" s="5">
        <f t="shared" si="0"/>
        <v>86.92307692307692</v>
      </c>
      <c r="T31" s="4">
        <v>0</v>
      </c>
      <c r="U31" s="4">
        <v>0</v>
      </c>
      <c r="V31" s="4">
        <v>0</v>
      </c>
      <c r="W31" s="17" t="s">
        <v>538</v>
      </c>
      <c r="X31" s="4"/>
      <c r="Y31" s="4"/>
      <c r="Z31" s="4"/>
      <c r="AA31" s="4"/>
      <c r="AB31" s="4"/>
      <c r="AC31" s="4" t="s">
        <v>43</v>
      </c>
      <c r="AD31" s="4"/>
      <c r="AE31" s="4"/>
      <c r="AF31" s="4"/>
      <c r="AG31" s="4"/>
      <c r="AH31" s="11"/>
      <c r="AI31" s="20" t="s">
        <v>545</v>
      </c>
      <c r="AK31" s="18"/>
    </row>
    <row r="32" spans="1:37" x14ac:dyDescent="0.35">
      <c r="A32" s="4">
        <v>25</v>
      </c>
      <c r="B32" s="4" t="s">
        <v>156</v>
      </c>
      <c r="C32" s="4" t="s">
        <v>157</v>
      </c>
      <c r="D32" s="4">
        <v>4507</v>
      </c>
      <c r="E32" s="4">
        <v>80</v>
      </c>
      <c r="F32" s="4"/>
      <c r="G32" s="4">
        <v>86</v>
      </c>
      <c r="H32" s="4">
        <v>83</v>
      </c>
      <c r="I32" s="4">
        <v>82</v>
      </c>
      <c r="J32" s="4">
        <v>83</v>
      </c>
      <c r="K32" s="4">
        <v>89</v>
      </c>
      <c r="L32" s="4">
        <v>88</v>
      </c>
      <c r="M32" s="4">
        <v>86</v>
      </c>
      <c r="N32" s="4">
        <v>86</v>
      </c>
      <c r="O32" s="4">
        <v>85</v>
      </c>
      <c r="P32" s="4">
        <v>81</v>
      </c>
      <c r="Q32" s="4">
        <v>78</v>
      </c>
      <c r="R32" s="4">
        <v>76</v>
      </c>
      <c r="S32" s="5">
        <f t="shared" si="0"/>
        <v>83.307692307692307</v>
      </c>
      <c r="T32" s="4">
        <v>1</v>
      </c>
      <c r="U32" s="4">
        <v>0</v>
      </c>
      <c r="V32" s="4">
        <v>2</v>
      </c>
      <c r="W32" s="17" t="s">
        <v>537</v>
      </c>
      <c r="X32" s="4" t="s">
        <v>38</v>
      </c>
      <c r="Y32" s="4"/>
      <c r="Z32" s="4"/>
      <c r="AA32" s="4"/>
      <c r="AB32" s="4"/>
      <c r="AC32" s="4"/>
      <c r="AD32" s="4"/>
      <c r="AE32" s="4"/>
      <c r="AF32" s="4"/>
      <c r="AG32" s="4"/>
      <c r="AH32" s="11"/>
      <c r="AI32" s="20" t="s">
        <v>545</v>
      </c>
      <c r="AK32" s="18"/>
    </row>
    <row r="33" spans="1:37" x14ac:dyDescent="0.35">
      <c r="A33" s="4">
        <v>26</v>
      </c>
      <c r="B33" s="4" t="s">
        <v>158</v>
      </c>
      <c r="C33" s="4" t="s">
        <v>159</v>
      </c>
      <c r="D33" s="4">
        <v>4509</v>
      </c>
      <c r="E33" s="4">
        <v>80</v>
      </c>
      <c r="F33" s="4"/>
      <c r="G33" s="4">
        <v>86</v>
      </c>
      <c r="H33" s="4">
        <v>88</v>
      </c>
      <c r="I33" s="4">
        <v>80</v>
      </c>
      <c r="J33" s="4">
        <v>80</v>
      </c>
      <c r="K33" s="4">
        <v>89</v>
      </c>
      <c r="L33" s="4">
        <v>89</v>
      </c>
      <c r="M33" s="4">
        <v>87</v>
      </c>
      <c r="N33" s="4">
        <v>85</v>
      </c>
      <c r="O33" s="4">
        <v>86</v>
      </c>
      <c r="P33" s="4">
        <v>83</v>
      </c>
      <c r="Q33" s="4">
        <v>79</v>
      </c>
      <c r="R33" s="4">
        <v>78</v>
      </c>
      <c r="S33" s="5">
        <f t="shared" si="0"/>
        <v>83.84615384615384</v>
      </c>
      <c r="T33" s="4">
        <v>1</v>
      </c>
      <c r="U33" s="4">
        <v>0</v>
      </c>
      <c r="V33" s="4">
        <v>4</v>
      </c>
      <c r="W33" s="17" t="s">
        <v>537</v>
      </c>
      <c r="X33" s="4" t="s">
        <v>38</v>
      </c>
      <c r="Y33" s="4"/>
      <c r="Z33" s="4"/>
      <c r="AA33" s="4"/>
      <c r="AB33" s="4"/>
      <c r="AC33" s="4"/>
      <c r="AD33" s="4" t="s">
        <v>38</v>
      </c>
      <c r="AE33" s="4"/>
      <c r="AF33" s="4"/>
      <c r="AG33" s="4"/>
      <c r="AH33" s="11"/>
      <c r="AI33" s="20" t="s">
        <v>543</v>
      </c>
      <c r="AK33" s="18"/>
    </row>
    <row r="34" spans="1:37" x14ac:dyDescent="0.35">
      <c r="A34" s="4">
        <v>27</v>
      </c>
      <c r="B34" s="4" t="s">
        <v>160</v>
      </c>
      <c r="C34" s="4" t="s">
        <v>161</v>
      </c>
      <c r="D34" s="4">
        <v>4516</v>
      </c>
      <c r="E34" s="4">
        <v>90</v>
      </c>
      <c r="F34" s="4"/>
      <c r="G34" s="4">
        <v>92</v>
      </c>
      <c r="H34" s="4">
        <v>92</v>
      </c>
      <c r="I34" s="4">
        <v>90</v>
      </c>
      <c r="J34" s="4">
        <v>90</v>
      </c>
      <c r="K34" s="4">
        <v>87</v>
      </c>
      <c r="L34" s="4">
        <v>88</v>
      </c>
      <c r="M34" s="4">
        <v>92</v>
      </c>
      <c r="N34" s="4">
        <v>89</v>
      </c>
      <c r="O34" s="4">
        <v>91</v>
      </c>
      <c r="P34" s="4">
        <v>90</v>
      </c>
      <c r="Q34" s="4">
        <v>90</v>
      </c>
      <c r="R34" s="4">
        <v>92</v>
      </c>
      <c r="S34" s="5">
        <f t="shared" si="0"/>
        <v>90.230769230769226</v>
      </c>
      <c r="T34" s="4">
        <v>2</v>
      </c>
      <c r="U34" s="4">
        <v>0</v>
      </c>
      <c r="V34" s="4">
        <v>0</v>
      </c>
      <c r="W34" s="17" t="s">
        <v>538</v>
      </c>
      <c r="X34" s="4" t="s">
        <v>38</v>
      </c>
      <c r="Y34" s="4" t="s">
        <v>43</v>
      </c>
      <c r="Z34" s="4"/>
      <c r="AA34" s="4" t="s">
        <v>43</v>
      </c>
      <c r="AB34" s="4" t="s">
        <v>43</v>
      </c>
      <c r="AC34" s="4"/>
      <c r="AD34" s="4"/>
      <c r="AE34" s="4"/>
      <c r="AF34" s="4" t="s">
        <v>43</v>
      </c>
      <c r="AG34" s="4"/>
      <c r="AH34" s="11"/>
      <c r="AI34" s="20" t="s">
        <v>542</v>
      </c>
      <c r="AK34" s="18"/>
    </row>
    <row r="35" spans="1:37" x14ac:dyDescent="0.35">
      <c r="A35" s="4">
        <v>28</v>
      </c>
      <c r="B35" s="4" t="s">
        <v>162</v>
      </c>
      <c r="C35" s="4" t="s">
        <v>163</v>
      </c>
      <c r="D35" s="4">
        <v>4523</v>
      </c>
      <c r="E35" s="4">
        <v>86</v>
      </c>
      <c r="F35" s="4"/>
      <c r="G35" s="4">
        <v>91</v>
      </c>
      <c r="H35" s="4">
        <v>91</v>
      </c>
      <c r="I35" s="4">
        <v>87</v>
      </c>
      <c r="J35" s="4">
        <v>88</v>
      </c>
      <c r="K35" s="4">
        <v>91</v>
      </c>
      <c r="L35" s="4">
        <v>89</v>
      </c>
      <c r="M35" s="4">
        <v>89</v>
      </c>
      <c r="N35" s="4">
        <v>89</v>
      </c>
      <c r="O35" s="4">
        <v>88</v>
      </c>
      <c r="P35" s="4">
        <v>86</v>
      </c>
      <c r="Q35" s="4">
        <v>84</v>
      </c>
      <c r="R35" s="4">
        <v>89</v>
      </c>
      <c r="S35" s="5">
        <f t="shared" si="0"/>
        <v>88.307692307692307</v>
      </c>
      <c r="T35" s="4">
        <v>2</v>
      </c>
      <c r="U35" s="4">
        <v>1</v>
      </c>
      <c r="V35" s="4">
        <v>0</v>
      </c>
      <c r="W35" s="17" t="s">
        <v>538</v>
      </c>
      <c r="X35" s="4" t="s">
        <v>38</v>
      </c>
      <c r="Y35" s="4"/>
      <c r="Z35" s="4" t="s">
        <v>38</v>
      </c>
      <c r="AA35" s="4"/>
      <c r="AB35" s="4"/>
      <c r="AC35" s="4"/>
      <c r="AD35" s="4"/>
      <c r="AE35" s="4"/>
      <c r="AF35" s="4"/>
      <c r="AG35" s="4" t="s">
        <v>38</v>
      </c>
      <c r="AH35" s="11"/>
      <c r="AI35" s="20" t="s">
        <v>543</v>
      </c>
      <c r="AK35" s="18"/>
    </row>
    <row r="36" spans="1:37" x14ac:dyDescent="0.35">
      <c r="A36" s="4">
        <v>29</v>
      </c>
      <c r="B36" s="4" t="s">
        <v>164</v>
      </c>
      <c r="C36" s="4" t="s">
        <v>165</v>
      </c>
      <c r="D36" s="4">
        <v>4550</v>
      </c>
      <c r="E36" s="4">
        <v>80</v>
      </c>
      <c r="F36" s="4"/>
      <c r="G36" s="4">
        <v>90</v>
      </c>
      <c r="H36" s="4">
        <v>91</v>
      </c>
      <c r="I36" s="4">
        <v>83</v>
      </c>
      <c r="J36" s="4">
        <v>84</v>
      </c>
      <c r="K36" s="4">
        <v>77</v>
      </c>
      <c r="L36" s="4">
        <v>89</v>
      </c>
      <c r="M36" s="4">
        <v>89</v>
      </c>
      <c r="N36" s="4">
        <v>89</v>
      </c>
      <c r="O36" s="4">
        <v>86</v>
      </c>
      <c r="P36" s="4">
        <v>83</v>
      </c>
      <c r="Q36" s="4">
        <v>82</v>
      </c>
      <c r="R36" s="4">
        <v>84</v>
      </c>
      <c r="S36" s="5">
        <f t="shared" si="0"/>
        <v>85.15384615384616</v>
      </c>
      <c r="T36" s="4">
        <v>0</v>
      </c>
      <c r="U36" s="4">
        <v>1</v>
      </c>
      <c r="V36" s="4">
        <v>2</v>
      </c>
      <c r="W36" s="17" t="s">
        <v>537</v>
      </c>
      <c r="X36" s="4" t="s">
        <v>38</v>
      </c>
      <c r="Y36" s="4"/>
      <c r="Z36" s="4"/>
      <c r="AA36" s="4"/>
      <c r="AB36" s="4"/>
      <c r="AC36" s="4"/>
      <c r="AD36" s="4"/>
      <c r="AE36" s="4"/>
      <c r="AF36" s="4"/>
      <c r="AG36" s="4"/>
      <c r="AH36" s="11"/>
      <c r="AI36" s="20" t="s">
        <v>545</v>
      </c>
      <c r="AK36" s="18"/>
    </row>
    <row r="37" spans="1:37" x14ac:dyDescent="0.35">
      <c r="A37" s="4">
        <v>30</v>
      </c>
      <c r="B37" s="4" t="s">
        <v>166</v>
      </c>
      <c r="C37" s="4" t="s">
        <v>167</v>
      </c>
      <c r="D37" s="4">
        <v>4528</v>
      </c>
      <c r="E37" s="4">
        <v>85</v>
      </c>
      <c r="F37" s="4"/>
      <c r="G37" s="4">
        <v>90</v>
      </c>
      <c r="H37" s="4">
        <v>91</v>
      </c>
      <c r="I37" s="4">
        <v>83</v>
      </c>
      <c r="J37" s="4">
        <v>82</v>
      </c>
      <c r="K37" s="4">
        <v>85</v>
      </c>
      <c r="L37" s="4">
        <v>87</v>
      </c>
      <c r="M37" s="4">
        <v>89</v>
      </c>
      <c r="N37" s="4">
        <v>88</v>
      </c>
      <c r="O37" s="4">
        <v>86</v>
      </c>
      <c r="P37" s="4">
        <v>83</v>
      </c>
      <c r="Q37" s="4">
        <v>82</v>
      </c>
      <c r="R37" s="4">
        <v>86</v>
      </c>
      <c r="S37" s="5">
        <f t="shared" si="0"/>
        <v>85.92307692307692</v>
      </c>
      <c r="T37" s="4">
        <v>0</v>
      </c>
      <c r="U37" s="4">
        <v>0</v>
      </c>
      <c r="V37" s="4">
        <v>0</v>
      </c>
      <c r="W37" s="17" t="s">
        <v>537</v>
      </c>
      <c r="X37" s="4" t="s">
        <v>38</v>
      </c>
      <c r="Y37" s="4"/>
      <c r="Z37" s="4"/>
      <c r="AA37" s="4"/>
      <c r="AB37" s="4"/>
      <c r="AC37" s="4"/>
      <c r="AD37" s="4"/>
      <c r="AE37" s="4"/>
      <c r="AF37" s="4"/>
      <c r="AG37" s="4"/>
      <c r="AH37" s="11"/>
      <c r="AI37" s="20" t="s">
        <v>545</v>
      </c>
      <c r="AK37" s="18"/>
    </row>
    <row r="38" spans="1:37" x14ac:dyDescent="0.35">
      <c r="A38" s="4">
        <v>31</v>
      </c>
      <c r="B38" s="4" t="s">
        <v>168</v>
      </c>
      <c r="C38" s="4" t="s">
        <v>169</v>
      </c>
      <c r="D38" s="4">
        <v>4538</v>
      </c>
      <c r="E38" s="4">
        <v>88</v>
      </c>
      <c r="F38" s="4"/>
      <c r="G38" s="4">
        <v>92</v>
      </c>
      <c r="H38" s="4">
        <v>93</v>
      </c>
      <c r="I38" s="4">
        <v>90</v>
      </c>
      <c r="J38" s="4">
        <v>90</v>
      </c>
      <c r="K38" s="4">
        <v>85</v>
      </c>
      <c r="L38" s="4">
        <v>90</v>
      </c>
      <c r="M38" s="4">
        <v>91</v>
      </c>
      <c r="N38" s="4">
        <v>89</v>
      </c>
      <c r="O38" s="4">
        <v>91</v>
      </c>
      <c r="P38" s="4">
        <v>88</v>
      </c>
      <c r="Q38" s="4">
        <v>90</v>
      </c>
      <c r="R38" s="4">
        <v>92</v>
      </c>
      <c r="S38" s="5">
        <f t="shared" si="0"/>
        <v>89.92307692307692</v>
      </c>
      <c r="T38" s="4">
        <v>0</v>
      </c>
      <c r="U38" s="4">
        <v>1</v>
      </c>
      <c r="V38" s="4">
        <v>0</v>
      </c>
      <c r="W38" s="17" t="s">
        <v>538</v>
      </c>
      <c r="X38" s="4" t="s">
        <v>38</v>
      </c>
      <c r="Y38" s="4" t="s">
        <v>43</v>
      </c>
      <c r="Z38" s="4"/>
      <c r="AA38" s="4"/>
      <c r="AB38" s="4"/>
      <c r="AC38" s="4"/>
      <c r="AD38" s="4"/>
      <c r="AE38" s="4"/>
      <c r="AF38" s="4" t="s">
        <v>43</v>
      </c>
      <c r="AG38" s="4"/>
      <c r="AH38" s="11"/>
      <c r="AI38" s="20" t="s">
        <v>544</v>
      </c>
      <c r="AK38" s="18"/>
    </row>
    <row r="39" spans="1:37" x14ac:dyDescent="0.35">
      <c r="A39" s="4">
        <v>32</v>
      </c>
      <c r="B39" s="4" t="s">
        <v>170</v>
      </c>
      <c r="C39" s="4" t="s">
        <v>171</v>
      </c>
      <c r="D39" s="4">
        <v>4540</v>
      </c>
      <c r="E39" s="4">
        <v>86</v>
      </c>
      <c r="F39" s="4"/>
      <c r="G39" s="4">
        <v>86</v>
      </c>
      <c r="H39" s="4">
        <v>91</v>
      </c>
      <c r="I39" s="4">
        <v>80</v>
      </c>
      <c r="J39" s="4">
        <v>82</v>
      </c>
      <c r="K39" s="4">
        <v>85</v>
      </c>
      <c r="L39" s="4">
        <v>88</v>
      </c>
      <c r="M39" s="4">
        <v>89</v>
      </c>
      <c r="N39" s="4">
        <v>85</v>
      </c>
      <c r="O39" s="4">
        <v>86</v>
      </c>
      <c r="P39" s="4">
        <v>81</v>
      </c>
      <c r="Q39" s="4">
        <v>79</v>
      </c>
      <c r="R39" s="4">
        <v>80</v>
      </c>
      <c r="S39" s="5">
        <f t="shared" si="0"/>
        <v>84.461538461538467</v>
      </c>
      <c r="T39" s="4">
        <v>1</v>
      </c>
      <c r="U39" s="4">
        <v>0</v>
      </c>
      <c r="V39" s="4">
        <v>4</v>
      </c>
      <c r="W39" s="17" t="s">
        <v>537</v>
      </c>
      <c r="X39" s="4" t="s">
        <v>38</v>
      </c>
      <c r="Y39" s="4"/>
      <c r="Z39" s="4"/>
      <c r="AA39" s="4"/>
      <c r="AB39" s="4"/>
      <c r="AC39" s="4"/>
      <c r="AD39" s="4"/>
      <c r="AE39" s="4"/>
      <c r="AF39" s="4"/>
      <c r="AG39" s="4"/>
      <c r="AH39" s="11"/>
      <c r="AI39" s="20" t="s">
        <v>545</v>
      </c>
      <c r="AK39" s="18"/>
    </row>
    <row r="40" spans="1:37" x14ac:dyDescent="0.35">
      <c r="A40" s="4">
        <v>33</v>
      </c>
      <c r="B40" s="4" t="s">
        <v>172</v>
      </c>
      <c r="C40" s="4" t="s">
        <v>173</v>
      </c>
      <c r="D40" s="4">
        <v>4544</v>
      </c>
      <c r="E40" s="4">
        <v>80</v>
      </c>
      <c r="F40" s="4"/>
      <c r="G40" s="4">
        <v>86</v>
      </c>
      <c r="H40" s="4">
        <v>83</v>
      </c>
      <c r="I40" s="4">
        <v>80</v>
      </c>
      <c r="J40" s="4">
        <v>78</v>
      </c>
      <c r="K40" s="13">
        <v>87</v>
      </c>
      <c r="L40" s="4">
        <v>88</v>
      </c>
      <c r="M40" s="4">
        <v>85</v>
      </c>
      <c r="N40" s="4">
        <v>84</v>
      </c>
      <c r="O40" s="4">
        <v>85</v>
      </c>
      <c r="P40" s="4">
        <v>81</v>
      </c>
      <c r="Q40" s="4">
        <v>78</v>
      </c>
      <c r="R40" s="4">
        <v>76</v>
      </c>
      <c r="S40" s="5">
        <f t="shared" si="0"/>
        <v>82.384615384615387</v>
      </c>
      <c r="T40" s="4">
        <v>0</v>
      </c>
      <c r="U40" s="4">
        <v>0</v>
      </c>
      <c r="V40" s="4">
        <v>4</v>
      </c>
      <c r="W40" s="17" t="s">
        <v>537</v>
      </c>
      <c r="X40" s="4" t="s">
        <v>38</v>
      </c>
      <c r="Y40" s="4"/>
      <c r="Z40" s="4"/>
      <c r="AA40" s="4"/>
      <c r="AB40" s="4"/>
      <c r="AC40" s="4"/>
      <c r="AD40" s="4"/>
      <c r="AE40" s="4"/>
      <c r="AF40" s="4"/>
      <c r="AG40" s="4"/>
      <c r="AH40" s="11"/>
      <c r="AI40" s="20" t="s">
        <v>545</v>
      </c>
      <c r="AK40" s="18"/>
    </row>
    <row r="41" spans="1:37" x14ac:dyDescent="0.35">
      <c r="K41" s="14"/>
    </row>
  </sheetData>
  <mergeCells count="35">
    <mergeCell ref="W4:W7"/>
    <mergeCell ref="X5:X7"/>
    <mergeCell ref="Y5:Y7"/>
    <mergeCell ref="Z5:Z7"/>
    <mergeCell ref="AH5:AH7"/>
    <mergeCell ref="AB5:AB7"/>
    <mergeCell ref="AC5:AC7"/>
    <mergeCell ref="AD5:AD7"/>
    <mergeCell ref="AE5:AE7"/>
    <mergeCell ref="AF5:AF7"/>
    <mergeCell ref="AG5:AG7"/>
    <mergeCell ref="H5:H7"/>
    <mergeCell ref="I5:I7"/>
    <mergeCell ref="J5:J7"/>
    <mergeCell ref="L5:L7"/>
    <mergeCell ref="S4:S7"/>
    <mergeCell ref="R5:R7"/>
    <mergeCell ref="M5:M7"/>
    <mergeCell ref="K5:K7"/>
    <mergeCell ref="AI4:AI7"/>
    <mergeCell ref="A4:A7"/>
    <mergeCell ref="B4:B7"/>
    <mergeCell ref="C4:C7"/>
    <mergeCell ref="D4:D7"/>
    <mergeCell ref="E4:R4"/>
    <mergeCell ref="N5:N7"/>
    <mergeCell ref="O5:O7"/>
    <mergeCell ref="P5:P7"/>
    <mergeCell ref="Q5:Q7"/>
    <mergeCell ref="AA5:AA7"/>
    <mergeCell ref="T4:V6"/>
    <mergeCell ref="X4:AH4"/>
    <mergeCell ref="E5:E7"/>
    <mergeCell ref="F5:F7"/>
    <mergeCell ref="G5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590D-F77C-4C76-B3D1-610BD81C643D}">
  <dimension ref="A1:AJ42"/>
  <sheetViews>
    <sheetView zoomScale="55" zoomScaleNormal="55" workbookViewId="0">
      <selection activeCell="AL28" sqref="AL28"/>
    </sheetView>
  </sheetViews>
  <sheetFormatPr defaultRowHeight="14.5" x14ac:dyDescent="0.35"/>
  <cols>
    <col min="1" max="1" width="4" customWidth="1"/>
    <col min="2" max="2" width="30.7265625" bestFit="1" customWidth="1"/>
    <col min="3" max="3" width="11.26953125" customWidth="1"/>
    <col min="4" max="4" width="6.36328125" customWidth="1"/>
    <col min="5" max="18" width="5" customWidth="1"/>
    <col min="19" max="19" width="9.453125" customWidth="1"/>
    <col min="20" max="22" width="5" customWidth="1"/>
    <col min="23" max="23" width="12.6328125" customWidth="1"/>
    <col min="24" max="25" width="5" customWidth="1"/>
    <col min="26" max="26" width="13.26953125" customWidth="1"/>
    <col min="27" max="27" width="9.453125" customWidth="1"/>
    <col min="28" max="29" width="5" customWidth="1"/>
    <col min="30" max="30" width="12.453125" customWidth="1"/>
    <col min="31" max="33" width="5" customWidth="1"/>
    <col min="34" max="34" width="16.6328125" customWidth="1"/>
  </cols>
  <sheetData>
    <row r="1" spans="1:36" ht="18.5" x14ac:dyDescent="0.4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6" x14ac:dyDescent="0.35">
      <c r="A2" s="7" t="s">
        <v>1</v>
      </c>
      <c r="B2" s="7"/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6" x14ac:dyDescent="0.35">
      <c r="A3" s="7" t="s">
        <v>3</v>
      </c>
      <c r="B3" s="7"/>
      <c r="C3" s="2" t="s">
        <v>532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6" x14ac:dyDescent="0.35">
      <c r="A4" s="44" t="s">
        <v>4</v>
      </c>
      <c r="B4" s="44" t="s">
        <v>5</v>
      </c>
      <c r="C4" s="44" t="s">
        <v>6</v>
      </c>
      <c r="D4" s="44" t="s">
        <v>7</v>
      </c>
      <c r="E4" s="44" t="s">
        <v>8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5" t="s">
        <v>106</v>
      </c>
      <c r="T4" s="44" t="s">
        <v>9</v>
      </c>
      <c r="U4" s="44"/>
      <c r="V4" s="44"/>
      <c r="W4" s="45" t="s">
        <v>522</v>
      </c>
      <c r="X4" s="44" t="s">
        <v>10</v>
      </c>
      <c r="Y4" s="44"/>
      <c r="Z4" s="44"/>
      <c r="AA4" s="44"/>
      <c r="AB4" s="44"/>
      <c r="AC4" s="44"/>
      <c r="AD4" s="44"/>
      <c r="AE4" s="44"/>
      <c r="AF4" s="44"/>
      <c r="AG4" s="44"/>
      <c r="AH4" s="25" t="s">
        <v>540</v>
      </c>
    </row>
    <row r="5" spans="1:36" x14ac:dyDescent="0.35">
      <c r="A5" s="44"/>
      <c r="B5" s="44"/>
      <c r="C5" s="44"/>
      <c r="D5" s="44"/>
      <c r="E5" s="44" t="s">
        <v>11</v>
      </c>
      <c r="F5" s="44" t="s">
        <v>107</v>
      </c>
      <c r="G5" s="44" t="s">
        <v>12</v>
      </c>
      <c r="H5" s="44" t="s">
        <v>13</v>
      </c>
      <c r="I5" s="44" t="s">
        <v>14</v>
      </c>
      <c r="J5" s="44" t="s">
        <v>15</v>
      </c>
      <c r="K5" s="24" t="s">
        <v>526</v>
      </c>
      <c r="L5" s="44" t="s">
        <v>16</v>
      </c>
      <c r="M5" s="24" t="s">
        <v>524</v>
      </c>
      <c r="N5" s="24" t="s">
        <v>18</v>
      </c>
      <c r="O5" s="24" t="s">
        <v>17</v>
      </c>
      <c r="P5" s="24" t="s">
        <v>251</v>
      </c>
      <c r="Q5" s="44" t="s">
        <v>21</v>
      </c>
      <c r="R5" s="44" t="s">
        <v>180</v>
      </c>
      <c r="S5" s="43"/>
      <c r="T5" s="44"/>
      <c r="U5" s="44"/>
      <c r="V5" s="44"/>
      <c r="W5" s="43"/>
      <c r="X5" s="44" t="s">
        <v>22</v>
      </c>
      <c r="Y5" s="44" t="s">
        <v>25</v>
      </c>
      <c r="Z5" s="44" t="s">
        <v>175</v>
      </c>
      <c r="AA5" s="44" t="s">
        <v>26</v>
      </c>
      <c r="AB5" s="44" t="s">
        <v>176</v>
      </c>
      <c r="AC5" s="44" t="s">
        <v>178</v>
      </c>
      <c r="AD5" s="44" t="s">
        <v>29</v>
      </c>
      <c r="AE5" s="44" t="s">
        <v>30</v>
      </c>
      <c r="AF5" s="44" t="s">
        <v>31</v>
      </c>
      <c r="AG5" s="44" t="s">
        <v>179</v>
      </c>
      <c r="AH5" s="43"/>
    </row>
    <row r="6" spans="1:36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3"/>
      <c r="T6" s="44"/>
      <c r="U6" s="44"/>
      <c r="V6" s="44"/>
      <c r="W6" s="43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3"/>
    </row>
    <row r="7" spans="1:36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6"/>
      <c r="T7" s="9" t="s">
        <v>33</v>
      </c>
      <c r="U7" s="9" t="s">
        <v>34</v>
      </c>
      <c r="V7" s="9" t="s">
        <v>35</v>
      </c>
      <c r="W7" s="43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</row>
    <row r="8" spans="1:36" x14ac:dyDescent="0.35">
      <c r="A8" s="4">
        <v>1</v>
      </c>
      <c r="B8" s="4" t="s">
        <v>181</v>
      </c>
      <c r="C8" s="4" t="s">
        <v>182</v>
      </c>
      <c r="D8" s="4">
        <v>4311</v>
      </c>
      <c r="E8" s="4">
        <v>80</v>
      </c>
      <c r="F8" s="4"/>
      <c r="G8" s="4">
        <v>90</v>
      </c>
      <c r="H8" s="4">
        <v>85</v>
      </c>
      <c r="I8" s="4">
        <v>82</v>
      </c>
      <c r="J8" s="4">
        <v>83</v>
      </c>
      <c r="K8" s="4">
        <v>85</v>
      </c>
      <c r="L8" s="4">
        <v>89</v>
      </c>
      <c r="M8" s="4">
        <v>80</v>
      </c>
      <c r="N8" s="4">
        <v>86</v>
      </c>
      <c r="O8" s="4">
        <v>85</v>
      </c>
      <c r="P8" s="4">
        <v>80</v>
      </c>
      <c r="Q8" s="4">
        <v>80</v>
      </c>
      <c r="R8" s="4">
        <v>88</v>
      </c>
      <c r="S8" s="5">
        <f t="shared" ref="S8:S42" si="0">AVERAGE(E8:R8)</f>
        <v>84.07692307692308</v>
      </c>
      <c r="T8" s="4">
        <v>2</v>
      </c>
      <c r="U8" s="4">
        <v>0</v>
      </c>
      <c r="V8" s="4">
        <v>1</v>
      </c>
      <c r="W8" s="17" t="s">
        <v>537</v>
      </c>
      <c r="X8" s="4" t="s">
        <v>38</v>
      </c>
      <c r="Y8" s="4"/>
      <c r="Z8" s="4"/>
      <c r="AA8" s="4" t="s">
        <v>38</v>
      </c>
      <c r="AB8" s="4"/>
      <c r="AC8" s="4"/>
      <c r="AD8" s="4"/>
      <c r="AE8" s="4"/>
      <c r="AF8" s="4"/>
      <c r="AG8" s="11"/>
      <c r="AH8" s="19" t="s">
        <v>543</v>
      </c>
      <c r="AJ8" s="18"/>
    </row>
    <row r="9" spans="1:36" x14ac:dyDescent="0.35">
      <c r="A9" s="4">
        <v>2</v>
      </c>
      <c r="B9" s="4" t="s">
        <v>183</v>
      </c>
      <c r="C9" s="4" t="s">
        <v>184</v>
      </c>
      <c r="D9" s="4">
        <v>4327</v>
      </c>
      <c r="E9" s="4">
        <v>85</v>
      </c>
      <c r="F9" s="4"/>
      <c r="G9" s="4">
        <v>90</v>
      </c>
      <c r="H9" s="4">
        <v>89</v>
      </c>
      <c r="I9" s="4">
        <v>81</v>
      </c>
      <c r="J9" s="4">
        <v>83</v>
      </c>
      <c r="K9" s="4">
        <v>88</v>
      </c>
      <c r="L9" s="4">
        <v>87</v>
      </c>
      <c r="M9" s="4">
        <v>79</v>
      </c>
      <c r="N9" s="4">
        <v>87</v>
      </c>
      <c r="O9" s="4">
        <v>86</v>
      </c>
      <c r="P9" s="4">
        <v>85</v>
      </c>
      <c r="Q9" s="4">
        <v>79</v>
      </c>
      <c r="R9" s="4">
        <v>90</v>
      </c>
      <c r="S9" s="5">
        <f t="shared" si="0"/>
        <v>85.307692307692307</v>
      </c>
      <c r="T9" s="4">
        <v>2</v>
      </c>
      <c r="U9" s="4">
        <v>2</v>
      </c>
      <c r="V9" s="4">
        <v>0</v>
      </c>
      <c r="W9" s="17" t="s">
        <v>537</v>
      </c>
      <c r="X9" s="4" t="s">
        <v>38</v>
      </c>
      <c r="Y9" s="4"/>
      <c r="Z9" s="4"/>
      <c r="AA9" s="4"/>
      <c r="AB9" s="4"/>
      <c r="AC9" s="4"/>
      <c r="AD9" s="4"/>
      <c r="AE9" s="4"/>
      <c r="AF9" s="4"/>
      <c r="AG9" s="11"/>
      <c r="AH9" s="19" t="s">
        <v>545</v>
      </c>
      <c r="AJ9" s="18"/>
    </row>
    <row r="10" spans="1:36" x14ac:dyDescent="0.35">
      <c r="A10" s="4">
        <v>3</v>
      </c>
      <c r="B10" s="4" t="s">
        <v>185</v>
      </c>
      <c r="C10" s="4" t="s">
        <v>186</v>
      </c>
      <c r="D10" s="4">
        <v>4335</v>
      </c>
      <c r="E10" s="4">
        <v>80</v>
      </c>
      <c r="F10" s="4"/>
      <c r="G10" s="4">
        <v>90</v>
      </c>
      <c r="H10" s="4">
        <v>85</v>
      </c>
      <c r="I10" s="4">
        <v>87</v>
      </c>
      <c r="J10" s="4">
        <v>83</v>
      </c>
      <c r="K10" s="4">
        <v>87</v>
      </c>
      <c r="L10" s="4">
        <v>91</v>
      </c>
      <c r="M10" s="4">
        <v>80</v>
      </c>
      <c r="N10" s="4">
        <v>85</v>
      </c>
      <c r="O10" s="4">
        <v>85</v>
      </c>
      <c r="P10" s="4">
        <v>84</v>
      </c>
      <c r="Q10" s="4">
        <v>80</v>
      </c>
      <c r="R10" s="4">
        <v>88</v>
      </c>
      <c r="S10" s="5">
        <f t="shared" si="0"/>
        <v>85</v>
      </c>
      <c r="T10" s="4">
        <v>1</v>
      </c>
      <c r="U10" s="4">
        <v>0</v>
      </c>
      <c r="V10" s="4">
        <v>0</v>
      </c>
      <c r="W10" s="17" t="s">
        <v>537</v>
      </c>
      <c r="X10" s="4" t="s">
        <v>38</v>
      </c>
      <c r="Y10" s="4"/>
      <c r="Z10" s="4"/>
      <c r="AA10" s="4"/>
      <c r="AB10" s="4" t="s">
        <v>38</v>
      </c>
      <c r="AC10" s="4"/>
      <c r="AD10" s="4"/>
      <c r="AE10" s="4"/>
      <c r="AF10" s="4"/>
      <c r="AG10" s="11"/>
      <c r="AH10" s="19" t="s">
        <v>545</v>
      </c>
      <c r="AJ10" s="18"/>
    </row>
    <row r="11" spans="1:36" x14ac:dyDescent="0.35">
      <c r="A11" s="4">
        <v>4</v>
      </c>
      <c r="B11" s="4" t="s">
        <v>187</v>
      </c>
      <c r="C11" s="4" t="s">
        <v>188</v>
      </c>
      <c r="D11" s="4">
        <v>4336</v>
      </c>
      <c r="E11" s="4">
        <v>85</v>
      </c>
      <c r="F11" s="4"/>
      <c r="G11" s="4">
        <v>90</v>
      </c>
      <c r="H11" s="4">
        <v>89</v>
      </c>
      <c r="I11" s="4">
        <v>86</v>
      </c>
      <c r="J11" s="4">
        <v>86</v>
      </c>
      <c r="K11" s="4">
        <v>88</v>
      </c>
      <c r="L11" s="4">
        <v>91</v>
      </c>
      <c r="M11" s="4">
        <v>84</v>
      </c>
      <c r="N11" s="4">
        <v>87</v>
      </c>
      <c r="O11" s="4">
        <v>87</v>
      </c>
      <c r="P11" s="4">
        <v>87</v>
      </c>
      <c r="Q11" s="4">
        <v>85</v>
      </c>
      <c r="R11" s="4">
        <v>92</v>
      </c>
      <c r="S11" s="5">
        <f t="shared" si="0"/>
        <v>87.461538461538467</v>
      </c>
      <c r="T11" s="4">
        <v>0</v>
      </c>
      <c r="U11" s="4">
        <v>0</v>
      </c>
      <c r="V11" s="4">
        <v>0</v>
      </c>
      <c r="W11" s="17" t="s">
        <v>538</v>
      </c>
      <c r="X11" s="4" t="s">
        <v>38</v>
      </c>
      <c r="Y11" s="4"/>
      <c r="Z11" s="4"/>
      <c r="AA11" s="4"/>
      <c r="AB11" s="4"/>
      <c r="AC11" s="4"/>
      <c r="AD11" s="4"/>
      <c r="AE11" s="4"/>
      <c r="AF11" s="4"/>
      <c r="AG11" s="11"/>
      <c r="AH11" s="19" t="s">
        <v>545</v>
      </c>
      <c r="AJ11" s="18"/>
    </row>
    <row r="12" spans="1:36" x14ac:dyDescent="0.35">
      <c r="A12" s="4">
        <v>5</v>
      </c>
      <c r="B12" s="4" t="s">
        <v>189</v>
      </c>
      <c r="C12" s="4" t="s">
        <v>190</v>
      </c>
      <c r="D12" s="4">
        <v>4339</v>
      </c>
      <c r="E12" s="4">
        <v>86</v>
      </c>
      <c r="F12" s="4"/>
      <c r="G12" s="4">
        <v>90</v>
      </c>
      <c r="H12" s="4">
        <v>85</v>
      </c>
      <c r="I12" s="4">
        <v>81</v>
      </c>
      <c r="J12" s="4">
        <v>81</v>
      </c>
      <c r="K12" s="4">
        <v>91</v>
      </c>
      <c r="L12" s="4">
        <v>91</v>
      </c>
      <c r="M12" s="4">
        <v>80</v>
      </c>
      <c r="N12" s="4">
        <v>85</v>
      </c>
      <c r="O12" s="4">
        <v>85</v>
      </c>
      <c r="P12" s="4">
        <v>80</v>
      </c>
      <c r="Q12" s="4">
        <v>81</v>
      </c>
      <c r="R12" s="4">
        <v>95</v>
      </c>
      <c r="S12" s="5">
        <f t="shared" si="0"/>
        <v>85.461538461538467</v>
      </c>
      <c r="T12" s="4">
        <v>0</v>
      </c>
      <c r="U12" s="4">
        <v>1</v>
      </c>
      <c r="V12" s="4">
        <v>0</v>
      </c>
      <c r="W12" s="17" t="s">
        <v>537</v>
      </c>
      <c r="X12" s="4" t="s">
        <v>38</v>
      </c>
      <c r="Y12" s="4"/>
      <c r="Z12" s="4"/>
      <c r="AA12" s="4"/>
      <c r="AB12" s="4"/>
      <c r="AC12" s="4"/>
      <c r="AD12" s="4"/>
      <c r="AE12" s="4"/>
      <c r="AF12" s="4"/>
      <c r="AG12" s="11"/>
      <c r="AH12" s="19" t="s">
        <v>545</v>
      </c>
      <c r="AJ12" s="18"/>
    </row>
    <row r="13" spans="1:36" x14ac:dyDescent="0.35">
      <c r="A13" s="4">
        <v>6</v>
      </c>
      <c r="B13" s="4" t="s">
        <v>191</v>
      </c>
      <c r="C13" s="4" t="s">
        <v>192</v>
      </c>
      <c r="D13" s="4">
        <v>4345</v>
      </c>
      <c r="E13" s="4">
        <v>82</v>
      </c>
      <c r="F13" s="4"/>
      <c r="G13" s="4">
        <v>86</v>
      </c>
      <c r="H13" s="4">
        <v>90</v>
      </c>
      <c r="I13" s="4">
        <v>81</v>
      </c>
      <c r="J13" s="4">
        <v>85</v>
      </c>
      <c r="K13" s="4">
        <v>85</v>
      </c>
      <c r="L13" s="4">
        <v>89</v>
      </c>
      <c r="M13" s="4">
        <v>84</v>
      </c>
      <c r="N13" s="4">
        <v>85</v>
      </c>
      <c r="O13" s="4">
        <v>87</v>
      </c>
      <c r="P13" s="4">
        <v>82</v>
      </c>
      <c r="Q13" s="4">
        <v>83</v>
      </c>
      <c r="R13" s="4">
        <v>95</v>
      </c>
      <c r="S13" s="5">
        <f t="shared" si="0"/>
        <v>85.692307692307693</v>
      </c>
      <c r="T13" s="4">
        <v>0</v>
      </c>
      <c r="U13" s="4">
        <v>2</v>
      </c>
      <c r="V13" s="4">
        <v>0</v>
      </c>
      <c r="W13" s="17" t="s">
        <v>537</v>
      </c>
      <c r="X13" s="4" t="s">
        <v>38</v>
      </c>
      <c r="Y13" s="4"/>
      <c r="Z13" s="4"/>
      <c r="AA13" s="4"/>
      <c r="AB13" s="4"/>
      <c r="AC13" s="4"/>
      <c r="AD13" s="4"/>
      <c r="AE13" s="4"/>
      <c r="AF13" s="4"/>
      <c r="AG13" s="11"/>
      <c r="AH13" s="19" t="s">
        <v>545</v>
      </c>
      <c r="AJ13" s="18"/>
    </row>
    <row r="14" spans="1:36" x14ac:dyDescent="0.35">
      <c r="A14" s="4">
        <v>7</v>
      </c>
      <c r="B14" s="4" t="s">
        <v>193</v>
      </c>
      <c r="C14" s="4" t="s">
        <v>194</v>
      </c>
      <c r="D14" s="4">
        <v>4347</v>
      </c>
      <c r="E14" s="4">
        <v>83</v>
      </c>
      <c r="F14" s="4"/>
      <c r="G14" s="4">
        <v>90</v>
      </c>
      <c r="H14" s="4">
        <v>88</v>
      </c>
      <c r="I14" s="4">
        <v>85</v>
      </c>
      <c r="J14" s="4">
        <v>86</v>
      </c>
      <c r="K14" s="4">
        <v>87</v>
      </c>
      <c r="L14" s="4">
        <v>90</v>
      </c>
      <c r="M14" s="4">
        <v>86</v>
      </c>
      <c r="N14" s="4">
        <v>88</v>
      </c>
      <c r="O14" s="4">
        <v>86</v>
      </c>
      <c r="P14" s="4">
        <v>85</v>
      </c>
      <c r="Q14" s="4">
        <v>87</v>
      </c>
      <c r="R14" s="4">
        <v>95</v>
      </c>
      <c r="S14" s="5">
        <f t="shared" si="0"/>
        <v>87.384615384615387</v>
      </c>
      <c r="T14" s="4">
        <v>0</v>
      </c>
      <c r="U14" s="4">
        <v>2</v>
      </c>
      <c r="V14" s="4">
        <v>0</v>
      </c>
      <c r="W14" s="17" t="s">
        <v>537</v>
      </c>
      <c r="X14" s="4" t="s">
        <v>38</v>
      </c>
      <c r="Y14" s="4"/>
      <c r="Z14" s="4"/>
      <c r="AA14" s="4"/>
      <c r="AB14" s="4"/>
      <c r="AC14" s="4"/>
      <c r="AD14" s="4"/>
      <c r="AE14" s="4"/>
      <c r="AF14" s="4"/>
      <c r="AG14" s="11"/>
      <c r="AH14" s="19" t="s">
        <v>545</v>
      </c>
      <c r="AJ14" s="18"/>
    </row>
    <row r="15" spans="1:36" x14ac:dyDescent="0.35">
      <c r="A15" s="4">
        <v>8</v>
      </c>
      <c r="B15" s="4" t="s">
        <v>195</v>
      </c>
      <c r="C15" s="4" t="s">
        <v>196</v>
      </c>
      <c r="D15" s="4">
        <v>4353</v>
      </c>
      <c r="E15" s="4">
        <v>85</v>
      </c>
      <c r="F15" s="4"/>
      <c r="G15" s="4">
        <v>90</v>
      </c>
      <c r="H15" s="4">
        <v>89</v>
      </c>
      <c r="I15" s="4">
        <v>83</v>
      </c>
      <c r="J15" s="4">
        <v>87</v>
      </c>
      <c r="K15" s="4">
        <v>87</v>
      </c>
      <c r="L15" s="4">
        <v>91</v>
      </c>
      <c r="M15" s="4">
        <v>85</v>
      </c>
      <c r="N15" s="4">
        <v>87</v>
      </c>
      <c r="O15" s="4">
        <v>87</v>
      </c>
      <c r="P15" s="4">
        <v>85</v>
      </c>
      <c r="Q15" s="4">
        <v>86</v>
      </c>
      <c r="R15" s="4">
        <v>96</v>
      </c>
      <c r="S15" s="5">
        <f t="shared" si="0"/>
        <v>87.538461538461533</v>
      </c>
      <c r="T15" s="4">
        <v>1</v>
      </c>
      <c r="U15" s="4">
        <v>0</v>
      </c>
      <c r="V15" s="4">
        <v>0</v>
      </c>
      <c r="W15" s="17" t="s">
        <v>538</v>
      </c>
      <c r="X15" s="4" t="s">
        <v>38</v>
      </c>
      <c r="Y15" s="4"/>
      <c r="Z15" s="4"/>
      <c r="AA15" s="4"/>
      <c r="AB15" s="4"/>
      <c r="AC15" s="4"/>
      <c r="AD15" s="4"/>
      <c r="AE15" s="4"/>
      <c r="AF15" s="4"/>
      <c r="AG15" s="11"/>
      <c r="AH15" s="19" t="s">
        <v>545</v>
      </c>
      <c r="AJ15" s="18"/>
    </row>
    <row r="16" spans="1:36" x14ac:dyDescent="0.35">
      <c r="A16" s="4">
        <v>9</v>
      </c>
      <c r="B16" s="4" t="s">
        <v>197</v>
      </c>
      <c r="C16" s="4" t="s">
        <v>198</v>
      </c>
      <c r="D16" s="4">
        <v>4354</v>
      </c>
      <c r="E16" s="4">
        <v>88</v>
      </c>
      <c r="F16" s="4"/>
      <c r="G16" s="4">
        <v>90</v>
      </c>
      <c r="H16" s="4">
        <v>89</v>
      </c>
      <c r="I16" s="4">
        <v>85</v>
      </c>
      <c r="J16" s="4">
        <v>87</v>
      </c>
      <c r="K16" s="4">
        <v>85</v>
      </c>
      <c r="L16" s="4">
        <v>89</v>
      </c>
      <c r="M16" s="4">
        <v>85</v>
      </c>
      <c r="N16" s="4">
        <v>87</v>
      </c>
      <c r="O16" s="4">
        <v>87</v>
      </c>
      <c r="P16" s="4">
        <v>84</v>
      </c>
      <c r="Q16" s="4">
        <v>86</v>
      </c>
      <c r="R16" s="4">
        <v>92</v>
      </c>
      <c r="S16" s="5">
        <f t="shared" si="0"/>
        <v>87.230769230769226</v>
      </c>
      <c r="T16" s="4">
        <v>1</v>
      </c>
      <c r="U16" s="4">
        <v>2</v>
      </c>
      <c r="V16" s="4">
        <v>0</v>
      </c>
      <c r="W16" s="17" t="s">
        <v>537</v>
      </c>
      <c r="X16" s="4" t="s">
        <v>38</v>
      </c>
      <c r="Y16" s="4"/>
      <c r="Z16" s="4"/>
      <c r="AA16" s="4"/>
      <c r="AB16" s="4"/>
      <c r="AC16" s="4"/>
      <c r="AD16" s="4"/>
      <c r="AE16" s="4"/>
      <c r="AF16" s="4"/>
      <c r="AG16" s="11"/>
      <c r="AH16" s="19" t="s">
        <v>545</v>
      </c>
      <c r="AJ16" s="18"/>
    </row>
    <row r="17" spans="1:36" x14ac:dyDescent="0.35">
      <c r="A17" s="4">
        <v>10</v>
      </c>
      <c r="B17" s="4" t="s">
        <v>199</v>
      </c>
      <c r="C17" s="4" t="s">
        <v>200</v>
      </c>
      <c r="D17" s="4">
        <v>4361</v>
      </c>
      <c r="E17" s="4">
        <v>85</v>
      </c>
      <c r="F17" s="4"/>
      <c r="G17" s="4">
        <v>89</v>
      </c>
      <c r="H17" s="4">
        <v>88</v>
      </c>
      <c r="I17" s="4">
        <v>84</v>
      </c>
      <c r="J17" s="4">
        <v>87</v>
      </c>
      <c r="K17" s="4">
        <v>85</v>
      </c>
      <c r="L17" s="4">
        <v>89</v>
      </c>
      <c r="M17" s="4">
        <v>84</v>
      </c>
      <c r="N17" s="4">
        <v>85</v>
      </c>
      <c r="O17" s="4">
        <v>87</v>
      </c>
      <c r="P17" s="4">
        <v>83</v>
      </c>
      <c r="Q17" s="4">
        <v>85</v>
      </c>
      <c r="R17" s="4">
        <v>95</v>
      </c>
      <c r="S17" s="5">
        <f t="shared" si="0"/>
        <v>86.615384615384613</v>
      </c>
      <c r="T17" s="4">
        <v>2</v>
      </c>
      <c r="U17" s="4">
        <v>0</v>
      </c>
      <c r="V17" s="4">
        <v>0</v>
      </c>
      <c r="W17" s="17" t="s">
        <v>537</v>
      </c>
      <c r="X17" s="4" t="s">
        <v>38</v>
      </c>
      <c r="Y17" s="4"/>
      <c r="Z17" s="4"/>
      <c r="AA17" s="4"/>
      <c r="AB17" s="4"/>
      <c r="AC17" s="4"/>
      <c r="AD17" s="4"/>
      <c r="AE17" s="4"/>
      <c r="AF17" s="4"/>
      <c r="AG17" s="11"/>
      <c r="AH17" s="19" t="s">
        <v>545</v>
      </c>
      <c r="AJ17" s="18"/>
    </row>
    <row r="18" spans="1:36" x14ac:dyDescent="0.35">
      <c r="A18" s="4">
        <v>11</v>
      </c>
      <c r="B18" s="4" t="s">
        <v>201</v>
      </c>
      <c r="C18" s="4" t="s">
        <v>202</v>
      </c>
      <c r="D18" s="4">
        <v>4364</v>
      </c>
      <c r="E18" s="4">
        <v>85</v>
      </c>
      <c r="F18" s="4"/>
      <c r="G18" s="4">
        <v>90</v>
      </c>
      <c r="H18" s="4">
        <v>89</v>
      </c>
      <c r="I18" s="4">
        <v>87</v>
      </c>
      <c r="J18" s="4">
        <v>90</v>
      </c>
      <c r="K18" s="4">
        <v>85</v>
      </c>
      <c r="L18" s="4">
        <v>91</v>
      </c>
      <c r="M18" s="4">
        <v>88</v>
      </c>
      <c r="N18" s="4">
        <v>87</v>
      </c>
      <c r="O18" s="4">
        <v>88</v>
      </c>
      <c r="P18" s="4">
        <v>88</v>
      </c>
      <c r="Q18" s="4">
        <v>90</v>
      </c>
      <c r="R18" s="4">
        <v>90</v>
      </c>
      <c r="S18" s="5">
        <f t="shared" si="0"/>
        <v>88.307692307692307</v>
      </c>
      <c r="T18" s="4">
        <v>0</v>
      </c>
      <c r="U18" s="4">
        <v>0</v>
      </c>
      <c r="V18" s="4">
        <v>0</v>
      </c>
      <c r="W18" s="17" t="s">
        <v>538</v>
      </c>
      <c r="X18" s="4" t="s">
        <v>38</v>
      </c>
      <c r="Y18" s="4"/>
      <c r="Z18" s="4"/>
      <c r="AA18" s="4"/>
      <c r="AB18" s="4"/>
      <c r="AC18" s="4" t="s">
        <v>38</v>
      </c>
      <c r="AD18" s="4"/>
      <c r="AE18" s="4"/>
      <c r="AF18" s="4"/>
      <c r="AG18" s="11"/>
      <c r="AH18" s="19" t="s">
        <v>543</v>
      </c>
      <c r="AJ18" s="18"/>
    </row>
    <row r="19" spans="1:36" x14ac:dyDescent="0.35">
      <c r="A19" s="4">
        <v>12</v>
      </c>
      <c r="B19" s="4" t="s">
        <v>203</v>
      </c>
      <c r="C19" s="4" t="s">
        <v>204</v>
      </c>
      <c r="D19" s="4">
        <v>4369</v>
      </c>
      <c r="E19" s="4">
        <v>85</v>
      </c>
      <c r="F19" s="4"/>
      <c r="G19" s="4">
        <v>90</v>
      </c>
      <c r="H19" s="4">
        <v>90</v>
      </c>
      <c r="I19" s="4">
        <v>87</v>
      </c>
      <c r="J19" s="4">
        <v>89</v>
      </c>
      <c r="K19" s="4">
        <v>89</v>
      </c>
      <c r="L19" s="4">
        <v>91</v>
      </c>
      <c r="M19" s="4">
        <v>90</v>
      </c>
      <c r="N19" s="4">
        <v>88</v>
      </c>
      <c r="O19" s="4">
        <v>91</v>
      </c>
      <c r="P19" s="4">
        <v>91</v>
      </c>
      <c r="Q19" s="4">
        <v>92</v>
      </c>
      <c r="R19" s="4">
        <v>92</v>
      </c>
      <c r="S19" s="5">
        <f t="shared" si="0"/>
        <v>89.615384615384613</v>
      </c>
      <c r="T19" s="4">
        <v>0</v>
      </c>
      <c r="U19" s="4">
        <v>0</v>
      </c>
      <c r="V19" s="4">
        <v>0</v>
      </c>
      <c r="W19" s="17" t="s">
        <v>538</v>
      </c>
      <c r="X19" s="4" t="s">
        <v>38</v>
      </c>
      <c r="Y19" s="4" t="s">
        <v>43</v>
      </c>
      <c r="Z19" s="4"/>
      <c r="AA19" s="4"/>
      <c r="AB19" s="4"/>
      <c r="AC19" s="4"/>
      <c r="AD19" s="4"/>
      <c r="AE19" s="4"/>
      <c r="AF19" s="4"/>
      <c r="AG19" s="11"/>
      <c r="AH19" s="19" t="s">
        <v>543</v>
      </c>
      <c r="AJ19" s="18"/>
    </row>
    <row r="20" spans="1:36" x14ac:dyDescent="0.35">
      <c r="A20" s="4">
        <v>13</v>
      </c>
      <c r="B20" s="4" t="s">
        <v>205</v>
      </c>
      <c r="C20" s="4" t="s">
        <v>206</v>
      </c>
      <c r="D20" s="4">
        <v>4370</v>
      </c>
      <c r="E20" s="4">
        <v>84</v>
      </c>
      <c r="F20" s="4"/>
      <c r="G20" s="4">
        <v>78</v>
      </c>
      <c r="H20" s="4">
        <v>84</v>
      </c>
      <c r="I20" s="4">
        <v>75</v>
      </c>
      <c r="J20" s="4">
        <v>78</v>
      </c>
      <c r="K20" s="4">
        <v>86</v>
      </c>
      <c r="L20" s="4">
        <v>84</v>
      </c>
      <c r="M20" s="4">
        <v>75</v>
      </c>
      <c r="N20" s="4">
        <v>80</v>
      </c>
      <c r="O20" s="4">
        <v>85</v>
      </c>
      <c r="P20" s="4">
        <v>79</v>
      </c>
      <c r="Q20" s="4">
        <v>75</v>
      </c>
      <c r="R20" s="4">
        <v>78</v>
      </c>
      <c r="S20" s="5">
        <f t="shared" si="0"/>
        <v>80.07692307692308</v>
      </c>
      <c r="T20" s="4">
        <v>2</v>
      </c>
      <c r="U20" s="4">
        <v>0</v>
      </c>
      <c r="V20" s="4">
        <v>4</v>
      </c>
      <c r="W20" s="17" t="s">
        <v>537</v>
      </c>
      <c r="X20" s="4" t="s">
        <v>38</v>
      </c>
      <c r="Y20" s="4"/>
      <c r="Z20" s="4"/>
      <c r="AA20" s="4"/>
      <c r="AB20" s="4"/>
      <c r="AC20" s="4"/>
      <c r="AD20" s="4"/>
      <c r="AE20" s="4"/>
      <c r="AF20" s="4"/>
      <c r="AG20" s="11"/>
      <c r="AH20" s="19" t="s">
        <v>545</v>
      </c>
      <c r="AJ20" s="18"/>
    </row>
    <row r="21" spans="1:36" x14ac:dyDescent="0.35">
      <c r="A21" s="4">
        <v>14</v>
      </c>
      <c r="B21" s="4" t="s">
        <v>207</v>
      </c>
      <c r="C21" s="4" t="s">
        <v>208</v>
      </c>
      <c r="D21" s="4">
        <v>4374</v>
      </c>
      <c r="E21" s="4">
        <v>84</v>
      </c>
      <c r="F21" s="4"/>
      <c r="G21" s="4">
        <v>90</v>
      </c>
      <c r="H21" s="4">
        <v>87</v>
      </c>
      <c r="I21" s="4">
        <v>83</v>
      </c>
      <c r="J21" s="4">
        <v>83</v>
      </c>
      <c r="K21" s="4">
        <v>89</v>
      </c>
      <c r="L21" s="4">
        <v>89</v>
      </c>
      <c r="M21" s="4">
        <v>80</v>
      </c>
      <c r="N21" s="4">
        <v>86</v>
      </c>
      <c r="O21" s="4">
        <v>87</v>
      </c>
      <c r="P21" s="4">
        <v>83</v>
      </c>
      <c r="Q21" s="4">
        <v>80</v>
      </c>
      <c r="R21" s="4">
        <v>90</v>
      </c>
      <c r="S21" s="5">
        <f t="shared" si="0"/>
        <v>85.461538461538467</v>
      </c>
      <c r="T21" s="4">
        <v>0</v>
      </c>
      <c r="U21" s="4">
        <v>1</v>
      </c>
      <c r="V21" s="4">
        <v>0</v>
      </c>
      <c r="W21" s="17" t="s">
        <v>537</v>
      </c>
      <c r="X21" s="4" t="s">
        <v>38</v>
      </c>
      <c r="Y21" s="4"/>
      <c r="Z21" s="4"/>
      <c r="AA21" s="4"/>
      <c r="AB21" s="4"/>
      <c r="AC21" s="4"/>
      <c r="AD21" s="4"/>
      <c r="AE21" s="4"/>
      <c r="AF21" s="4"/>
      <c r="AG21" s="11"/>
      <c r="AH21" s="19" t="s">
        <v>545</v>
      </c>
      <c r="AJ21" s="18"/>
    </row>
    <row r="22" spans="1:36" x14ac:dyDescent="0.35">
      <c r="A22" s="4">
        <v>15</v>
      </c>
      <c r="B22" s="4" t="s">
        <v>209</v>
      </c>
      <c r="C22" s="4" t="s">
        <v>210</v>
      </c>
      <c r="D22" s="4">
        <v>4381</v>
      </c>
      <c r="E22" s="4">
        <v>85</v>
      </c>
      <c r="F22" s="4"/>
      <c r="G22" s="4">
        <v>87</v>
      </c>
      <c r="H22" s="4">
        <v>88</v>
      </c>
      <c r="I22" s="4">
        <v>83</v>
      </c>
      <c r="J22" s="4">
        <v>85</v>
      </c>
      <c r="K22" s="4">
        <v>85</v>
      </c>
      <c r="L22" s="4">
        <v>88</v>
      </c>
      <c r="M22" s="4">
        <v>79</v>
      </c>
      <c r="N22" s="4">
        <v>85</v>
      </c>
      <c r="O22" s="4">
        <v>86</v>
      </c>
      <c r="P22" s="4">
        <v>83</v>
      </c>
      <c r="Q22" s="4">
        <v>79</v>
      </c>
      <c r="R22" s="4">
        <v>88</v>
      </c>
      <c r="S22" s="5">
        <f t="shared" si="0"/>
        <v>84.692307692307693</v>
      </c>
      <c r="T22" s="4">
        <v>0</v>
      </c>
      <c r="U22" s="4">
        <v>0</v>
      </c>
      <c r="V22" s="4">
        <v>0</v>
      </c>
      <c r="W22" s="17" t="s">
        <v>538</v>
      </c>
      <c r="X22" s="4" t="s">
        <v>38</v>
      </c>
      <c r="Y22" s="4"/>
      <c r="Z22" s="4"/>
      <c r="AA22" s="4"/>
      <c r="AB22" s="4"/>
      <c r="AC22" s="4"/>
      <c r="AD22" s="4"/>
      <c r="AE22" s="4"/>
      <c r="AF22" s="4"/>
      <c r="AG22" s="11"/>
      <c r="AH22" s="19" t="s">
        <v>545</v>
      </c>
      <c r="AJ22" s="18"/>
    </row>
    <row r="23" spans="1:36" x14ac:dyDescent="0.35">
      <c r="A23" s="4">
        <v>16</v>
      </c>
      <c r="B23" s="4" t="s">
        <v>211</v>
      </c>
      <c r="C23" s="4" t="s">
        <v>212</v>
      </c>
      <c r="D23" s="4">
        <v>4385</v>
      </c>
      <c r="E23" s="4">
        <v>85</v>
      </c>
      <c r="F23" s="4"/>
      <c r="G23" s="4">
        <v>92</v>
      </c>
      <c r="H23" s="4">
        <v>90</v>
      </c>
      <c r="I23" s="4">
        <v>87</v>
      </c>
      <c r="J23" s="4">
        <v>87</v>
      </c>
      <c r="K23" s="4">
        <v>85</v>
      </c>
      <c r="L23" s="4">
        <v>90</v>
      </c>
      <c r="M23" s="4">
        <v>84</v>
      </c>
      <c r="N23" s="4">
        <v>87</v>
      </c>
      <c r="O23" s="4">
        <v>87</v>
      </c>
      <c r="P23" s="4">
        <v>85</v>
      </c>
      <c r="Q23" s="4">
        <v>83</v>
      </c>
      <c r="R23" s="4">
        <v>85</v>
      </c>
      <c r="S23" s="5">
        <f t="shared" si="0"/>
        <v>86.692307692307693</v>
      </c>
      <c r="T23" s="4">
        <v>0</v>
      </c>
      <c r="U23" s="4">
        <v>0</v>
      </c>
      <c r="V23" s="4">
        <v>0</v>
      </c>
      <c r="W23" s="17" t="s">
        <v>538</v>
      </c>
      <c r="X23" s="4" t="s">
        <v>38</v>
      </c>
      <c r="Y23" s="4" t="s">
        <v>38</v>
      </c>
      <c r="Z23" s="4"/>
      <c r="AA23" s="4"/>
      <c r="AB23" s="4"/>
      <c r="AC23" s="4"/>
      <c r="AD23" s="4"/>
      <c r="AE23" s="4" t="s">
        <v>43</v>
      </c>
      <c r="AF23" s="4"/>
      <c r="AG23" s="11" t="s">
        <v>43</v>
      </c>
      <c r="AH23" s="19" t="s">
        <v>544</v>
      </c>
      <c r="AJ23" s="18"/>
    </row>
    <row r="24" spans="1:36" x14ac:dyDescent="0.35">
      <c r="A24" s="4">
        <v>17</v>
      </c>
      <c r="B24" s="4" t="s">
        <v>213</v>
      </c>
      <c r="C24" s="4" t="s">
        <v>214</v>
      </c>
      <c r="D24" s="4">
        <v>4392</v>
      </c>
      <c r="E24" s="4">
        <v>80</v>
      </c>
      <c r="F24" s="4"/>
      <c r="G24" s="4">
        <v>90</v>
      </c>
      <c r="H24" s="4">
        <v>89</v>
      </c>
      <c r="I24" s="4">
        <v>87</v>
      </c>
      <c r="J24" s="4">
        <v>86</v>
      </c>
      <c r="K24" s="4">
        <v>85</v>
      </c>
      <c r="L24" s="4">
        <v>89</v>
      </c>
      <c r="M24" s="4">
        <v>90</v>
      </c>
      <c r="N24" s="4">
        <v>88</v>
      </c>
      <c r="O24" s="4">
        <v>88</v>
      </c>
      <c r="P24" s="4">
        <v>91</v>
      </c>
      <c r="Q24" s="4">
        <v>91</v>
      </c>
      <c r="R24" s="4">
        <v>80</v>
      </c>
      <c r="S24" s="5">
        <f t="shared" si="0"/>
        <v>87.230769230769226</v>
      </c>
      <c r="T24" s="4">
        <v>0</v>
      </c>
      <c r="U24" s="4">
        <v>1</v>
      </c>
      <c r="V24" s="4">
        <v>0</v>
      </c>
      <c r="W24" s="17" t="s">
        <v>538</v>
      </c>
      <c r="X24" s="4" t="s">
        <v>38</v>
      </c>
      <c r="Y24" s="4" t="s">
        <v>38</v>
      </c>
      <c r="Z24" s="4"/>
      <c r="AA24" s="4"/>
      <c r="AB24" s="4"/>
      <c r="AC24" s="4"/>
      <c r="AD24" s="4"/>
      <c r="AE24" s="4" t="s">
        <v>43</v>
      </c>
      <c r="AF24" s="4"/>
      <c r="AG24" s="11"/>
      <c r="AH24" s="19" t="s">
        <v>543</v>
      </c>
      <c r="AJ24" s="18"/>
    </row>
    <row r="25" spans="1:36" x14ac:dyDescent="0.35">
      <c r="A25" s="4">
        <v>18</v>
      </c>
      <c r="B25" s="4" t="s">
        <v>215</v>
      </c>
      <c r="C25" s="4" t="s">
        <v>216</v>
      </c>
      <c r="D25" s="4">
        <v>4401</v>
      </c>
      <c r="E25" s="4">
        <v>80</v>
      </c>
      <c r="F25" s="4"/>
      <c r="G25" s="4">
        <v>90</v>
      </c>
      <c r="H25" s="4">
        <v>87</v>
      </c>
      <c r="I25" s="4">
        <v>85</v>
      </c>
      <c r="J25" s="4">
        <v>85</v>
      </c>
      <c r="K25" s="4">
        <v>87</v>
      </c>
      <c r="L25" s="4">
        <v>89</v>
      </c>
      <c r="M25" s="4">
        <v>84</v>
      </c>
      <c r="N25" s="4">
        <v>87</v>
      </c>
      <c r="O25" s="4">
        <v>86</v>
      </c>
      <c r="P25" s="4">
        <v>85</v>
      </c>
      <c r="Q25" s="4">
        <v>85</v>
      </c>
      <c r="R25" s="4">
        <v>92</v>
      </c>
      <c r="S25" s="5">
        <f t="shared" si="0"/>
        <v>86.307692307692307</v>
      </c>
      <c r="T25" s="4">
        <v>0</v>
      </c>
      <c r="U25" s="4">
        <v>1</v>
      </c>
      <c r="V25" s="4">
        <v>0</v>
      </c>
      <c r="W25" s="17" t="s">
        <v>537</v>
      </c>
      <c r="X25" s="4" t="s">
        <v>38</v>
      </c>
      <c r="Y25" s="4"/>
      <c r="Z25" s="4"/>
      <c r="AA25" s="4"/>
      <c r="AB25" s="4"/>
      <c r="AC25" s="4"/>
      <c r="AD25" s="4"/>
      <c r="AE25" s="4"/>
      <c r="AF25" s="4"/>
      <c r="AG25" s="11"/>
      <c r="AH25" s="19" t="s">
        <v>545</v>
      </c>
      <c r="AJ25" s="18"/>
    </row>
    <row r="26" spans="1:36" x14ac:dyDescent="0.35">
      <c r="A26" s="4">
        <v>19</v>
      </c>
      <c r="B26" s="4" t="s">
        <v>217</v>
      </c>
      <c r="C26" s="4" t="s">
        <v>218</v>
      </c>
      <c r="D26" s="4">
        <v>4402</v>
      </c>
      <c r="E26" s="4">
        <v>85</v>
      </c>
      <c r="F26" s="4"/>
      <c r="G26" s="4">
        <v>92</v>
      </c>
      <c r="H26" s="4">
        <v>89</v>
      </c>
      <c r="I26" s="4">
        <v>85</v>
      </c>
      <c r="J26" s="4">
        <v>88</v>
      </c>
      <c r="K26" s="4">
        <v>86</v>
      </c>
      <c r="L26" s="4">
        <v>89</v>
      </c>
      <c r="M26" s="4">
        <v>91</v>
      </c>
      <c r="N26" s="4">
        <v>87</v>
      </c>
      <c r="O26" s="4">
        <v>87</v>
      </c>
      <c r="P26" s="4">
        <v>87</v>
      </c>
      <c r="Q26" s="4">
        <v>90</v>
      </c>
      <c r="R26" s="4">
        <v>80</v>
      </c>
      <c r="S26" s="5">
        <f t="shared" si="0"/>
        <v>87.384615384615387</v>
      </c>
      <c r="T26" s="4">
        <v>0</v>
      </c>
      <c r="U26" s="4">
        <v>1</v>
      </c>
      <c r="V26" s="4">
        <v>0</v>
      </c>
      <c r="W26" s="17" t="s">
        <v>538</v>
      </c>
      <c r="X26" s="4" t="s">
        <v>38</v>
      </c>
      <c r="Y26" s="4" t="s">
        <v>43</v>
      </c>
      <c r="Z26" s="4"/>
      <c r="AA26" s="4"/>
      <c r="AB26" s="4" t="s">
        <v>38</v>
      </c>
      <c r="AC26" s="4"/>
      <c r="AD26" s="4"/>
      <c r="AE26" s="4"/>
      <c r="AF26" s="4"/>
      <c r="AG26" s="11"/>
      <c r="AH26" s="19" t="s">
        <v>545</v>
      </c>
      <c r="AJ26" s="18"/>
    </row>
    <row r="27" spans="1:36" x14ac:dyDescent="0.35">
      <c r="A27" s="4">
        <v>20</v>
      </c>
      <c r="B27" s="4" t="s">
        <v>219</v>
      </c>
      <c r="C27" s="4" t="s">
        <v>220</v>
      </c>
      <c r="D27" s="4">
        <v>4425</v>
      </c>
      <c r="E27" s="4">
        <v>86</v>
      </c>
      <c r="F27" s="4"/>
      <c r="G27" s="4">
        <v>88</v>
      </c>
      <c r="H27" s="4">
        <v>88</v>
      </c>
      <c r="I27" s="4">
        <v>82</v>
      </c>
      <c r="J27" s="4">
        <v>83</v>
      </c>
      <c r="K27" s="4">
        <v>85</v>
      </c>
      <c r="L27" s="4">
        <v>89</v>
      </c>
      <c r="M27" s="4">
        <v>82</v>
      </c>
      <c r="N27" s="4">
        <v>86</v>
      </c>
      <c r="O27" s="4">
        <v>87</v>
      </c>
      <c r="P27" s="4">
        <v>83</v>
      </c>
      <c r="Q27" s="4">
        <v>83</v>
      </c>
      <c r="R27" s="4">
        <v>92</v>
      </c>
      <c r="S27" s="5">
        <f t="shared" si="0"/>
        <v>85.692307692307693</v>
      </c>
      <c r="T27" s="4">
        <v>0</v>
      </c>
      <c r="U27" s="4">
        <v>1</v>
      </c>
      <c r="V27" s="4">
        <v>0</v>
      </c>
      <c r="W27" s="17" t="s">
        <v>537</v>
      </c>
      <c r="X27" s="4" t="s">
        <v>38</v>
      </c>
      <c r="Y27" s="4"/>
      <c r="Z27" s="4"/>
      <c r="AA27" s="4"/>
      <c r="AB27" s="4"/>
      <c r="AC27" s="4"/>
      <c r="AD27" s="4"/>
      <c r="AE27" s="4"/>
      <c r="AF27" s="4"/>
      <c r="AG27" s="11"/>
      <c r="AH27" s="19" t="s">
        <v>545</v>
      </c>
      <c r="AJ27" s="18"/>
    </row>
    <row r="28" spans="1:36" x14ac:dyDescent="0.35">
      <c r="A28" s="4">
        <v>21</v>
      </c>
      <c r="B28" s="4" t="s">
        <v>221</v>
      </c>
      <c r="C28" s="4" t="s">
        <v>222</v>
      </c>
      <c r="D28" s="4">
        <v>4431</v>
      </c>
      <c r="E28" s="4">
        <v>86</v>
      </c>
      <c r="F28" s="4"/>
      <c r="G28" s="4">
        <v>90</v>
      </c>
      <c r="H28" s="4">
        <v>89</v>
      </c>
      <c r="I28" s="4">
        <v>85</v>
      </c>
      <c r="J28" s="4">
        <v>88</v>
      </c>
      <c r="K28" s="4">
        <v>87</v>
      </c>
      <c r="L28" s="4">
        <v>87</v>
      </c>
      <c r="M28" s="4">
        <v>82</v>
      </c>
      <c r="N28" s="4">
        <v>87</v>
      </c>
      <c r="O28" s="4">
        <v>87</v>
      </c>
      <c r="P28" s="4">
        <v>84</v>
      </c>
      <c r="Q28" s="4">
        <v>84</v>
      </c>
      <c r="R28" s="4">
        <v>95</v>
      </c>
      <c r="S28" s="5">
        <f t="shared" si="0"/>
        <v>87</v>
      </c>
      <c r="T28" s="4">
        <v>2</v>
      </c>
      <c r="U28" s="4">
        <v>1</v>
      </c>
      <c r="V28" s="4">
        <v>1</v>
      </c>
      <c r="W28" s="17" t="s">
        <v>537</v>
      </c>
      <c r="X28" s="4" t="s">
        <v>38</v>
      </c>
      <c r="Y28" s="4"/>
      <c r="Z28" s="4"/>
      <c r="AA28" s="4"/>
      <c r="AB28" s="4"/>
      <c r="AC28" s="4"/>
      <c r="AD28" s="4"/>
      <c r="AE28" s="4"/>
      <c r="AF28" s="4"/>
      <c r="AG28" s="11"/>
      <c r="AH28" s="19" t="s">
        <v>545</v>
      </c>
      <c r="AJ28" s="18"/>
    </row>
    <row r="29" spans="1:36" x14ac:dyDescent="0.35">
      <c r="A29" s="4">
        <v>22</v>
      </c>
      <c r="B29" s="4" t="s">
        <v>223</v>
      </c>
      <c r="C29" s="4" t="s">
        <v>224</v>
      </c>
      <c r="D29" s="4">
        <v>4433</v>
      </c>
      <c r="E29" s="4"/>
      <c r="F29" s="4">
        <v>89</v>
      </c>
      <c r="G29" s="4">
        <v>90</v>
      </c>
      <c r="H29" s="4">
        <v>88</v>
      </c>
      <c r="I29" s="4">
        <v>83</v>
      </c>
      <c r="J29" s="4">
        <v>81</v>
      </c>
      <c r="K29" s="4">
        <v>86</v>
      </c>
      <c r="L29" s="4">
        <v>88</v>
      </c>
      <c r="M29" s="4">
        <v>83</v>
      </c>
      <c r="N29" s="4">
        <v>85</v>
      </c>
      <c r="O29" s="4">
        <v>85</v>
      </c>
      <c r="P29" s="4">
        <v>86</v>
      </c>
      <c r="Q29" s="4">
        <v>84</v>
      </c>
      <c r="R29" s="4">
        <v>90</v>
      </c>
      <c r="S29" s="5">
        <f t="shared" si="0"/>
        <v>86</v>
      </c>
      <c r="T29" s="4">
        <v>1</v>
      </c>
      <c r="U29" s="4">
        <v>2</v>
      </c>
      <c r="V29" s="4">
        <v>0</v>
      </c>
      <c r="W29" s="17" t="s">
        <v>537</v>
      </c>
      <c r="X29" s="4" t="s">
        <v>38</v>
      </c>
      <c r="Y29" s="4"/>
      <c r="Z29" s="4"/>
      <c r="AA29" s="4"/>
      <c r="AB29" s="4"/>
      <c r="AC29" s="4" t="s">
        <v>38</v>
      </c>
      <c r="AD29" s="4"/>
      <c r="AE29" s="4"/>
      <c r="AF29" s="4"/>
      <c r="AG29" s="11"/>
      <c r="AH29" s="19" t="s">
        <v>543</v>
      </c>
      <c r="AJ29" s="18"/>
    </row>
    <row r="30" spans="1:36" x14ac:dyDescent="0.35">
      <c r="A30" s="4">
        <v>23</v>
      </c>
      <c r="B30" s="4" t="s">
        <v>225</v>
      </c>
      <c r="C30" s="4" t="s">
        <v>226</v>
      </c>
      <c r="D30" s="4">
        <v>4439</v>
      </c>
      <c r="E30" s="4">
        <v>82</v>
      </c>
      <c r="F30" s="4"/>
      <c r="G30" s="4">
        <v>89</v>
      </c>
      <c r="H30" s="4">
        <v>85</v>
      </c>
      <c r="I30" s="4">
        <v>82</v>
      </c>
      <c r="J30" s="4">
        <v>83</v>
      </c>
      <c r="K30" s="4">
        <v>86</v>
      </c>
      <c r="L30" s="4">
        <v>91</v>
      </c>
      <c r="M30" s="4">
        <v>80</v>
      </c>
      <c r="N30" s="4">
        <v>88</v>
      </c>
      <c r="O30" s="4">
        <v>85</v>
      </c>
      <c r="P30" s="4">
        <v>82</v>
      </c>
      <c r="Q30" s="4">
        <v>79</v>
      </c>
      <c r="R30" s="4">
        <v>96</v>
      </c>
      <c r="S30" s="5">
        <f t="shared" si="0"/>
        <v>85.230769230769226</v>
      </c>
      <c r="T30" s="4">
        <v>1</v>
      </c>
      <c r="U30" s="4">
        <v>1</v>
      </c>
      <c r="V30" s="4">
        <v>0</v>
      </c>
      <c r="W30" s="17" t="s">
        <v>538</v>
      </c>
      <c r="X30" s="4" t="s">
        <v>38</v>
      </c>
      <c r="Y30" s="4"/>
      <c r="Z30" s="4"/>
      <c r="AA30" s="4" t="s">
        <v>43</v>
      </c>
      <c r="AB30" s="4"/>
      <c r="AC30" s="4"/>
      <c r="AD30" s="4"/>
      <c r="AE30" s="4"/>
      <c r="AF30" s="4"/>
      <c r="AG30" s="11"/>
      <c r="AH30" s="19" t="s">
        <v>543</v>
      </c>
      <c r="AJ30" s="18"/>
    </row>
    <row r="31" spans="1:36" x14ac:dyDescent="0.35">
      <c r="A31" s="4">
        <v>24</v>
      </c>
      <c r="B31" s="4" t="s">
        <v>227</v>
      </c>
      <c r="C31" s="4" t="s">
        <v>228</v>
      </c>
      <c r="D31" s="4">
        <v>4457</v>
      </c>
      <c r="E31" s="4">
        <v>82</v>
      </c>
      <c r="F31" s="4"/>
      <c r="G31" s="4">
        <v>88</v>
      </c>
      <c r="H31" s="4">
        <v>84</v>
      </c>
      <c r="I31" s="4">
        <v>78</v>
      </c>
      <c r="J31" s="4">
        <v>81</v>
      </c>
      <c r="K31" s="4">
        <v>87</v>
      </c>
      <c r="L31" s="4">
        <v>85</v>
      </c>
      <c r="M31" s="4">
        <v>78</v>
      </c>
      <c r="N31" s="4">
        <v>85</v>
      </c>
      <c r="O31" s="4">
        <v>85</v>
      </c>
      <c r="P31" s="4">
        <v>81</v>
      </c>
      <c r="Q31" s="4">
        <v>76</v>
      </c>
      <c r="R31" s="4">
        <v>88</v>
      </c>
      <c r="S31" s="5">
        <f t="shared" si="0"/>
        <v>82.92307692307692</v>
      </c>
      <c r="T31" s="4">
        <v>0</v>
      </c>
      <c r="U31" s="4">
        <v>2</v>
      </c>
      <c r="V31" s="4">
        <v>4</v>
      </c>
      <c r="W31" s="17" t="s">
        <v>537</v>
      </c>
      <c r="X31" s="4" t="s">
        <v>38</v>
      </c>
      <c r="Y31" s="4"/>
      <c r="Z31" s="4"/>
      <c r="AA31" s="4"/>
      <c r="AB31" s="4"/>
      <c r="AC31" s="4"/>
      <c r="AD31" s="4"/>
      <c r="AE31" s="4"/>
      <c r="AF31" s="4"/>
      <c r="AG31" s="11"/>
      <c r="AH31" s="19" t="s">
        <v>545</v>
      </c>
      <c r="AJ31" s="18"/>
    </row>
    <row r="32" spans="1:36" x14ac:dyDescent="0.35">
      <c r="A32" s="4">
        <v>25</v>
      </c>
      <c r="B32" s="4" t="s">
        <v>229</v>
      </c>
      <c r="C32" s="4" t="s">
        <v>230</v>
      </c>
      <c r="D32" s="4">
        <v>4464</v>
      </c>
      <c r="E32" s="4">
        <v>84</v>
      </c>
      <c r="F32" s="4"/>
      <c r="G32" s="4">
        <v>90</v>
      </c>
      <c r="H32" s="4">
        <v>87</v>
      </c>
      <c r="I32" s="4">
        <v>84</v>
      </c>
      <c r="J32" s="4">
        <v>85</v>
      </c>
      <c r="K32" s="4">
        <v>85</v>
      </c>
      <c r="L32" s="4">
        <v>88</v>
      </c>
      <c r="M32" s="4">
        <v>83</v>
      </c>
      <c r="N32" s="4">
        <v>87</v>
      </c>
      <c r="O32" s="4">
        <v>87</v>
      </c>
      <c r="P32" s="4">
        <v>84</v>
      </c>
      <c r="Q32" s="4">
        <v>84</v>
      </c>
      <c r="R32" s="4">
        <v>80</v>
      </c>
      <c r="S32" s="5">
        <f t="shared" si="0"/>
        <v>85.230769230769226</v>
      </c>
      <c r="T32" s="4">
        <v>3</v>
      </c>
      <c r="U32" s="4">
        <v>2</v>
      </c>
      <c r="V32" s="4">
        <v>0</v>
      </c>
      <c r="W32" s="17" t="s">
        <v>538</v>
      </c>
      <c r="X32" s="4" t="s">
        <v>38</v>
      </c>
      <c r="Y32" s="4"/>
      <c r="Z32" s="4"/>
      <c r="AA32" s="4"/>
      <c r="AB32" s="4"/>
      <c r="AC32" s="4"/>
      <c r="AD32" s="4"/>
      <c r="AE32" s="4" t="s">
        <v>43</v>
      </c>
      <c r="AF32" s="4"/>
      <c r="AG32" s="11"/>
      <c r="AH32" s="19" t="s">
        <v>545</v>
      </c>
      <c r="AJ32" s="18"/>
    </row>
    <row r="33" spans="1:36" x14ac:dyDescent="0.35">
      <c r="A33" s="4">
        <v>26</v>
      </c>
      <c r="B33" s="4" t="s">
        <v>231</v>
      </c>
      <c r="C33" s="4" t="s">
        <v>232</v>
      </c>
      <c r="D33" s="4">
        <v>4475</v>
      </c>
      <c r="E33" s="4">
        <v>85</v>
      </c>
      <c r="F33" s="4"/>
      <c r="G33" s="4">
        <v>10</v>
      </c>
      <c r="H33" s="4">
        <v>10</v>
      </c>
      <c r="I33" s="4">
        <v>5</v>
      </c>
      <c r="J33" s="4">
        <v>10</v>
      </c>
      <c r="K33" s="4">
        <v>86</v>
      </c>
      <c r="L33" s="4">
        <v>89</v>
      </c>
      <c r="M33" s="4">
        <v>10</v>
      </c>
      <c r="N33" s="4">
        <v>10</v>
      </c>
      <c r="O33" s="4">
        <v>91</v>
      </c>
      <c r="P33" s="4"/>
      <c r="Q33" s="4">
        <v>10</v>
      </c>
      <c r="R33" s="4">
        <v>10</v>
      </c>
      <c r="S33" s="5">
        <f t="shared" si="0"/>
        <v>35.5</v>
      </c>
      <c r="T33" s="4">
        <v>0</v>
      </c>
      <c r="U33" s="4">
        <v>0</v>
      </c>
      <c r="V33" s="4">
        <v>0</v>
      </c>
      <c r="W33" s="17" t="s">
        <v>548</v>
      </c>
      <c r="X33" s="4" t="s">
        <v>38</v>
      </c>
      <c r="Y33" s="4"/>
      <c r="Z33" s="4"/>
      <c r="AA33" s="4"/>
      <c r="AB33" s="4"/>
      <c r="AC33" s="4"/>
      <c r="AD33" s="4"/>
      <c r="AE33" s="4"/>
      <c r="AF33" s="4"/>
      <c r="AG33" s="11"/>
      <c r="AH33" s="19" t="s">
        <v>545</v>
      </c>
      <c r="AJ33" s="18"/>
    </row>
    <row r="34" spans="1:36" x14ac:dyDescent="0.35">
      <c r="A34" s="4">
        <v>27</v>
      </c>
      <c r="B34" s="4" t="s">
        <v>233</v>
      </c>
      <c r="C34" s="4" t="s">
        <v>234</v>
      </c>
      <c r="D34" s="4">
        <v>4477</v>
      </c>
      <c r="E34" s="4">
        <v>85</v>
      </c>
      <c r="F34" s="4"/>
      <c r="G34" s="4">
        <v>91</v>
      </c>
      <c r="H34" s="4">
        <v>88</v>
      </c>
      <c r="I34" s="4">
        <v>84</v>
      </c>
      <c r="J34" s="4">
        <v>89</v>
      </c>
      <c r="K34" s="4">
        <v>91</v>
      </c>
      <c r="L34" s="4">
        <v>88</v>
      </c>
      <c r="M34" s="4">
        <v>82</v>
      </c>
      <c r="N34" s="4">
        <v>86</v>
      </c>
      <c r="O34" s="4">
        <v>86</v>
      </c>
      <c r="P34" s="4">
        <v>84</v>
      </c>
      <c r="Q34" s="4">
        <v>83</v>
      </c>
      <c r="R34" s="4">
        <v>80</v>
      </c>
      <c r="S34" s="5">
        <f t="shared" si="0"/>
        <v>85.92307692307692</v>
      </c>
      <c r="T34" s="4">
        <v>0</v>
      </c>
      <c r="U34" s="4">
        <v>2</v>
      </c>
      <c r="V34" s="4">
        <v>0</v>
      </c>
      <c r="W34" s="17" t="s">
        <v>537</v>
      </c>
      <c r="X34" s="4" t="s">
        <v>38</v>
      </c>
      <c r="Y34" s="4"/>
      <c r="Z34" s="4"/>
      <c r="AA34" s="4"/>
      <c r="AB34" s="4"/>
      <c r="AC34" s="4"/>
      <c r="AD34" s="4"/>
      <c r="AE34" s="4"/>
      <c r="AF34" s="4"/>
      <c r="AG34" s="11"/>
      <c r="AH34" s="19" t="s">
        <v>545</v>
      </c>
      <c r="AJ34" s="18"/>
    </row>
    <row r="35" spans="1:36" x14ac:dyDescent="0.35">
      <c r="A35" s="4">
        <v>28</v>
      </c>
      <c r="B35" s="4" t="s">
        <v>235</v>
      </c>
      <c r="C35" s="4" t="s">
        <v>236</v>
      </c>
      <c r="D35" s="4">
        <v>4566</v>
      </c>
      <c r="E35" s="4"/>
      <c r="F35" s="4">
        <v>86</v>
      </c>
      <c r="G35" s="4">
        <v>88</v>
      </c>
      <c r="H35" s="4">
        <v>85</v>
      </c>
      <c r="I35" s="4">
        <v>78</v>
      </c>
      <c r="J35" s="4">
        <v>83</v>
      </c>
      <c r="K35" s="4">
        <v>88</v>
      </c>
      <c r="L35" s="4">
        <v>89</v>
      </c>
      <c r="M35" s="4">
        <v>78</v>
      </c>
      <c r="N35" s="4">
        <v>83</v>
      </c>
      <c r="O35" s="4">
        <v>85</v>
      </c>
      <c r="P35" s="4">
        <v>80</v>
      </c>
      <c r="Q35" s="4">
        <v>78</v>
      </c>
      <c r="R35" s="4">
        <v>90</v>
      </c>
      <c r="S35" s="5">
        <f t="shared" si="0"/>
        <v>83.92307692307692</v>
      </c>
      <c r="T35" s="4">
        <v>2</v>
      </c>
      <c r="U35" s="4">
        <v>0</v>
      </c>
      <c r="V35" s="4">
        <v>0</v>
      </c>
      <c r="W35" s="17" t="s">
        <v>537</v>
      </c>
      <c r="X35" s="4" t="s">
        <v>38</v>
      </c>
      <c r="Y35" s="4"/>
      <c r="Z35" s="4"/>
      <c r="AA35" s="4"/>
      <c r="AB35" s="4"/>
      <c r="AC35" s="4"/>
      <c r="AD35" s="4"/>
      <c r="AE35" s="4"/>
      <c r="AF35" s="4"/>
      <c r="AG35" s="11"/>
      <c r="AH35" s="19" t="s">
        <v>545</v>
      </c>
      <c r="AJ35" s="18"/>
    </row>
    <row r="36" spans="1:36" x14ac:dyDescent="0.35">
      <c r="A36" s="4">
        <v>29</v>
      </c>
      <c r="B36" s="4" t="s">
        <v>237</v>
      </c>
      <c r="C36" s="4" t="s">
        <v>238</v>
      </c>
      <c r="D36" s="4">
        <v>4485</v>
      </c>
      <c r="E36" s="4">
        <v>80</v>
      </c>
      <c r="F36" s="4"/>
      <c r="G36" s="4">
        <v>90</v>
      </c>
      <c r="H36" s="4">
        <v>83</v>
      </c>
      <c r="I36" s="4">
        <v>80</v>
      </c>
      <c r="J36" s="4">
        <v>83</v>
      </c>
      <c r="K36" s="4">
        <v>86</v>
      </c>
      <c r="L36" s="4">
        <v>89</v>
      </c>
      <c r="M36" s="4">
        <v>78</v>
      </c>
      <c r="N36" s="4">
        <v>85</v>
      </c>
      <c r="O36" s="4">
        <v>87</v>
      </c>
      <c r="P36" s="4">
        <v>81</v>
      </c>
      <c r="Q36" s="4">
        <v>78</v>
      </c>
      <c r="R36" s="4">
        <v>90</v>
      </c>
      <c r="S36" s="5">
        <f t="shared" si="0"/>
        <v>83.84615384615384</v>
      </c>
      <c r="T36" s="4">
        <v>0</v>
      </c>
      <c r="U36" s="4">
        <v>1</v>
      </c>
      <c r="V36" s="4">
        <v>0</v>
      </c>
      <c r="W36" s="17" t="s">
        <v>537</v>
      </c>
      <c r="X36" s="4" t="s">
        <v>38</v>
      </c>
      <c r="Y36" s="4"/>
      <c r="Z36" s="4"/>
      <c r="AA36" s="4"/>
      <c r="AB36" s="4"/>
      <c r="AC36" s="4"/>
      <c r="AD36" s="4"/>
      <c r="AE36" s="4"/>
      <c r="AF36" s="4"/>
      <c r="AG36" s="11"/>
      <c r="AH36" s="19" t="s">
        <v>545</v>
      </c>
      <c r="AJ36" s="18"/>
    </row>
    <row r="37" spans="1:36" x14ac:dyDescent="0.35">
      <c r="A37" s="4">
        <v>30</v>
      </c>
      <c r="B37" s="4" t="s">
        <v>239</v>
      </c>
      <c r="C37" s="4" t="s">
        <v>240</v>
      </c>
      <c r="D37" s="4">
        <v>4498</v>
      </c>
      <c r="E37" s="4">
        <v>80</v>
      </c>
      <c r="F37" s="4"/>
      <c r="G37" s="4">
        <v>90</v>
      </c>
      <c r="H37" s="4">
        <v>89</v>
      </c>
      <c r="I37" s="4">
        <v>82</v>
      </c>
      <c r="J37" s="4">
        <v>85</v>
      </c>
      <c r="K37" s="4">
        <v>86</v>
      </c>
      <c r="L37" s="4">
        <v>91</v>
      </c>
      <c r="M37" s="4">
        <v>80</v>
      </c>
      <c r="N37" s="4">
        <v>85</v>
      </c>
      <c r="O37" s="4">
        <v>86</v>
      </c>
      <c r="P37" s="4">
        <v>85</v>
      </c>
      <c r="Q37" s="4">
        <v>80</v>
      </c>
      <c r="R37" s="4">
        <v>95</v>
      </c>
      <c r="S37" s="5">
        <f t="shared" si="0"/>
        <v>85.692307692307693</v>
      </c>
      <c r="T37" s="4">
        <v>0</v>
      </c>
      <c r="U37" s="4">
        <v>1</v>
      </c>
      <c r="V37" s="4">
        <v>0</v>
      </c>
      <c r="W37" s="17" t="s">
        <v>537</v>
      </c>
      <c r="X37" s="4" t="s">
        <v>38</v>
      </c>
      <c r="Y37" s="4"/>
      <c r="Z37" s="4"/>
      <c r="AA37" s="4"/>
      <c r="AB37" s="4"/>
      <c r="AC37" s="4"/>
      <c r="AD37" s="4"/>
      <c r="AE37" s="4"/>
      <c r="AF37" s="4"/>
      <c r="AG37" s="11"/>
      <c r="AH37" s="19" t="s">
        <v>545</v>
      </c>
      <c r="AJ37" s="18"/>
    </row>
    <row r="38" spans="1:36" x14ac:dyDescent="0.35">
      <c r="A38" s="4">
        <v>31</v>
      </c>
      <c r="B38" s="4" t="s">
        <v>241</v>
      </c>
      <c r="C38" s="4" t="s">
        <v>242</v>
      </c>
      <c r="D38" s="4">
        <v>4499</v>
      </c>
      <c r="E38" s="4">
        <v>80</v>
      </c>
      <c r="F38" s="4"/>
      <c r="G38" s="4">
        <v>90</v>
      </c>
      <c r="H38" s="4">
        <v>83</v>
      </c>
      <c r="I38" s="4">
        <v>80</v>
      </c>
      <c r="J38" s="4">
        <v>83</v>
      </c>
      <c r="K38" s="4">
        <v>91</v>
      </c>
      <c r="L38" s="4">
        <v>89</v>
      </c>
      <c r="M38" s="4">
        <v>81</v>
      </c>
      <c r="N38" s="4">
        <v>86</v>
      </c>
      <c r="O38" s="4">
        <v>86</v>
      </c>
      <c r="P38" s="4">
        <v>82</v>
      </c>
      <c r="Q38" s="4">
        <v>80</v>
      </c>
      <c r="R38" s="4">
        <v>90</v>
      </c>
      <c r="S38" s="5">
        <f t="shared" si="0"/>
        <v>84.692307692307693</v>
      </c>
      <c r="T38" s="4">
        <v>2</v>
      </c>
      <c r="U38" s="4">
        <v>0</v>
      </c>
      <c r="V38" s="4">
        <v>0</v>
      </c>
      <c r="W38" s="17" t="s">
        <v>537</v>
      </c>
      <c r="X38" s="4" t="s">
        <v>38</v>
      </c>
      <c r="Y38" s="4"/>
      <c r="Z38" s="4"/>
      <c r="AA38" s="4"/>
      <c r="AB38" s="4"/>
      <c r="AC38" s="4"/>
      <c r="AD38" s="4"/>
      <c r="AE38" s="4"/>
      <c r="AF38" s="4"/>
      <c r="AG38" s="11"/>
      <c r="AH38" s="19" t="s">
        <v>545</v>
      </c>
      <c r="AJ38" s="18"/>
    </row>
    <row r="39" spans="1:36" x14ac:dyDescent="0.35">
      <c r="A39" s="4">
        <v>32</v>
      </c>
      <c r="B39" s="4" t="s">
        <v>243</v>
      </c>
      <c r="C39" s="4" t="s">
        <v>244</v>
      </c>
      <c r="D39" s="4">
        <v>4504</v>
      </c>
      <c r="E39" s="4">
        <v>80</v>
      </c>
      <c r="F39" s="4"/>
      <c r="G39" s="4">
        <v>90</v>
      </c>
      <c r="H39" s="4">
        <v>87</v>
      </c>
      <c r="I39" s="4">
        <v>80</v>
      </c>
      <c r="J39" s="4">
        <v>83</v>
      </c>
      <c r="K39" s="4">
        <v>86</v>
      </c>
      <c r="L39" s="4">
        <v>89</v>
      </c>
      <c r="M39" s="4">
        <v>82</v>
      </c>
      <c r="N39" s="4">
        <v>85</v>
      </c>
      <c r="O39" s="4">
        <v>86</v>
      </c>
      <c r="P39" s="4">
        <v>83</v>
      </c>
      <c r="Q39" s="4">
        <v>83</v>
      </c>
      <c r="R39" s="4">
        <v>85</v>
      </c>
      <c r="S39" s="5">
        <f t="shared" si="0"/>
        <v>84.538461538461533</v>
      </c>
      <c r="T39" s="4">
        <v>0</v>
      </c>
      <c r="U39" s="4">
        <v>1</v>
      </c>
      <c r="V39" s="4">
        <v>0</v>
      </c>
      <c r="W39" s="17" t="s">
        <v>537</v>
      </c>
      <c r="X39" s="4" t="s">
        <v>38</v>
      </c>
      <c r="Y39" s="4"/>
      <c r="Z39" s="4"/>
      <c r="AA39" s="4"/>
      <c r="AB39" s="4"/>
      <c r="AC39" s="4"/>
      <c r="AD39" s="4"/>
      <c r="AE39" s="4"/>
      <c r="AF39" s="4"/>
      <c r="AG39" s="11"/>
      <c r="AH39" s="19" t="s">
        <v>545</v>
      </c>
      <c r="AJ39" s="18"/>
    </row>
    <row r="40" spans="1:36" x14ac:dyDescent="0.35">
      <c r="A40" s="4">
        <v>33</v>
      </c>
      <c r="B40" s="4" t="s">
        <v>245</v>
      </c>
      <c r="C40" s="4" t="s">
        <v>246</v>
      </c>
      <c r="D40" s="4">
        <v>4517</v>
      </c>
      <c r="E40" s="4">
        <v>85</v>
      </c>
      <c r="F40" s="4"/>
      <c r="G40" s="4">
        <v>92</v>
      </c>
      <c r="H40" s="4">
        <v>89</v>
      </c>
      <c r="I40" s="4">
        <v>87</v>
      </c>
      <c r="J40" s="4">
        <v>88</v>
      </c>
      <c r="K40" s="4">
        <v>85</v>
      </c>
      <c r="L40" s="4">
        <v>89</v>
      </c>
      <c r="M40" s="4">
        <v>91</v>
      </c>
      <c r="N40" s="4">
        <v>90</v>
      </c>
      <c r="O40" s="4">
        <v>89</v>
      </c>
      <c r="P40" s="4">
        <v>92</v>
      </c>
      <c r="Q40" s="4">
        <v>92</v>
      </c>
      <c r="R40" s="4">
        <v>95</v>
      </c>
      <c r="S40" s="5">
        <f t="shared" si="0"/>
        <v>89.538461538461533</v>
      </c>
      <c r="T40" s="4">
        <v>0</v>
      </c>
      <c r="U40" s="4">
        <v>0</v>
      </c>
      <c r="V40" s="4">
        <v>0</v>
      </c>
      <c r="W40" s="17" t="s">
        <v>538</v>
      </c>
      <c r="X40" s="4" t="s">
        <v>43</v>
      </c>
      <c r="Y40" s="4"/>
      <c r="Z40" s="4" t="s">
        <v>43</v>
      </c>
      <c r="AA40" s="4"/>
      <c r="AB40" s="4"/>
      <c r="AC40" s="4"/>
      <c r="AD40" s="4"/>
      <c r="AE40" s="4"/>
      <c r="AF40" s="4"/>
      <c r="AG40" s="11"/>
      <c r="AH40" s="19" t="s">
        <v>544</v>
      </c>
      <c r="AJ40" s="18"/>
    </row>
    <row r="41" spans="1:36" x14ac:dyDescent="0.35">
      <c r="A41" s="4">
        <v>34</v>
      </c>
      <c r="B41" s="4" t="s">
        <v>247</v>
      </c>
      <c r="C41" s="4" t="s">
        <v>248</v>
      </c>
      <c r="D41" s="4">
        <v>4527</v>
      </c>
      <c r="E41" s="4">
        <v>85</v>
      </c>
      <c r="F41" s="4"/>
      <c r="G41" s="4">
        <v>91</v>
      </c>
      <c r="H41" s="4">
        <v>88</v>
      </c>
      <c r="I41" s="4">
        <v>84</v>
      </c>
      <c r="J41" s="4">
        <v>88</v>
      </c>
      <c r="K41" s="4">
        <v>86</v>
      </c>
      <c r="L41" s="4">
        <v>89</v>
      </c>
      <c r="M41" s="4">
        <v>82</v>
      </c>
      <c r="N41" s="4">
        <v>87</v>
      </c>
      <c r="O41" s="4">
        <v>87</v>
      </c>
      <c r="P41" s="4">
        <v>84</v>
      </c>
      <c r="Q41" s="4">
        <v>84</v>
      </c>
      <c r="R41" s="4">
        <v>95</v>
      </c>
      <c r="S41" s="5">
        <f t="shared" si="0"/>
        <v>86.92307692307692</v>
      </c>
      <c r="T41" s="4">
        <v>0</v>
      </c>
      <c r="U41" s="4">
        <v>1</v>
      </c>
      <c r="V41" s="4">
        <v>0</v>
      </c>
      <c r="W41" s="17" t="s">
        <v>537</v>
      </c>
      <c r="X41" s="4" t="s">
        <v>43</v>
      </c>
      <c r="Y41" s="4"/>
      <c r="Z41" s="4"/>
      <c r="AA41" s="4"/>
      <c r="AB41" s="4"/>
      <c r="AC41" s="4"/>
      <c r="AD41" s="4"/>
      <c r="AE41" s="4"/>
      <c r="AF41" s="4"/>
      <c r="AG41" s="11"/>
      <c r="AH41" s="19" t="s">
        <v>545</v>
      </c>
      <c r="AJ41" s="18"/>
    </row>
    <row r="42" spans="1:36" x14ac:dyDescent="0.35">
      <c r="A42" s="4">
        <v>35</v>
      </c>
      <c r="B42" s="4" t="s">
        <v>249</v>
      </c>
      <c r="C42" s="4" t="s">
        <v>250</v>
      </c>
      <c r="D42" s="4">
        <v>4529</v>
      </c>
      <c r="E42" s="4">
        <v>85</v>
      </c>
      <c r="F42" s="4"/>
      <c r="G42" s="4">
        <v>92</v>
      </c>
      <c r="H42" s="4">
        <v>92</v>
      </c>
      <c r="I42" s="4">
        <v>87</v>
      </c>
      <c r="J42" s="4">
        <v>90</v>
      </c>
      <c r="K42" s="4">
        <v>87</v>
      </c>
      <c r="L42" s="4">
        <v>89</v>
      </c>
      <c r="M42" s="4">
        <v>90</v>
      </c>
      <c r="N42" s="4">
        <v>90</v>
      </c>
      <c r="O42" s="4">
        <v>88</v>
      </c>
      <c r="P42" s="4">
        <v>90</v>
      </c>
      <c r="Q42" s="4">
        <v>90</v>
      </c>
      <c r="R42" s="4">
        <v>92</v>
      </c>
      <c r="S42" s="5">
        <f t="shared" si="0"/>
        <v>89.384615384615387</v>
      </c>
      <c r="T42" s="4">
        <v>1</v>
      </c>
      <c r="U42" s="4">
        <v>0</v>
      </c>
      <c r="V42" s="4">
        <v>0</v>
      </c>
      <c r="W42" s="17" t="s">
        <v>538</v>
      </c>
      <c r="X42" s="4" t="s">
        <v>38</v>
      </c>
      <c r="Y42" s="4" t="s">
        <v>43</v>
      </c>
      <c r="Z42" s="4" t="s">
        <v>43</v>
      </c>
      <c r="AA42" s="4" t="s">
        <v>43</v>
      </c>
      <c r="AB42" s="4"/>
      <c r="AC42" s="4"/>
      <c r="AD42" s="4" t="s">
        <v>43</v>
      </c>
      <c r="AE42" s="4"/>
      <c r="AF42" s="4" t="s">
        <v>38</v>
      </c>
      <c r="AG42" s="11"/>
      <c r="AH42" s="19" t="s">
        <v>546</v>
      </c>
      <c r="AJ42" s="18"/>
    </row>
  </sheetData>
  <mergeCells count="34">
    <mergeCell ref="J5:J7"/>
    <mergeCell ref="L5:L7"/>
    <mergeCell ref="Z5:Z7"/>
    <mergeCell ref="AA5:AA7"/>
    <mergeCell ref="A4:A7"/>
    <mergeCell ref="B4:B7"/>
    <mergeCell ref="C4:C7"/>
    <mergeCell ref="D4:D7"/>
    <mergeCell ref="E4:R4"/>
    <mergeCell ref="N5:N7"/>
    <mergeCell ref="O5:O7"/>
    <mergeCell ref="P5:P7"/>
    <mergeCell ref="Q5:Q7"/>
    <mergeCell ref="E5:E7"/>
    <mergeCell ref="F5:F7"/>
    <mergeCell ref="G5:G7"/>
    <mergeCell ref="H5:H7"/>
    <mergeCell ref="I5:I7"/>
    <mergeCell ref="R5:R7"/>
    <mergeCell ref="K5:K7"/>
    <mergeCell ref="M5:M7"/>
    <mergeCell ref="AH4:AH7"/>
    <mergeCell ref="T4:V6"/>
    <mergeCell ref="X4:AG4"/>
    <mergeCell ref="S4:S7"/>
    <mergeCell ref="AB5:AB7"/>
    <mergeCell ref="AC5:AC7"/>
    <mergeCell ref="AE5:AE7"/>
    <mergeCell ref="AF5:AF7"/>
    <mergeCell ref="W4:W7"/>
    <mergeCell ref="AD5:AD7"/>
    <mergeCell ref="AG5:AG7"/>
    <mergeCell ref="X5:X7"/>
    <mergeCell ref="Y5:Y7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201E-C733-439D-AD9E-8F37CBB984A6}">
  <dimension ref="A1:AG43"/>
  <sheetViews>
    <sheetView topLeftCell="A2" zoomScale="60" workbookViewId="0">
      <selection activeCell="AH7" sqref="AH7"/>
    </sheetView>
  </sheetViews>
  <sheetFormatPr defaultRowHeight="14.5" x14ac:dyDescent="0.35"/>
  <cols>
    <col min="1" max="1" width="4" customWidth="1"/>
    <col min="2" max="2" width="23.1796875" bestFit="1" customWidth="1"/>
    <col min="3" max="3" width="11.26953125" customWidth="1"/>
    <col min="4" max="4" width="9.1796875" customWidth="1"/>
    <col min="5" max="18" width="5" customWidth="1"/>
    <col min="19" max="19" width="9.26953125" customWidth="1"/>
    <col min="20" max="22" width="5" customWidth="1"/>
    <col min="23" max="23" width="14.6328125" customWidth="1"/>
    <col min="24" max="30" width="5" customWidth="1"/>
    <col min="31" max="31" width="14.81640625" customWidth="1"/>
  </cols>
  <sheetData>
    <row r="1" spans="1:33" ht="18.5" x14ac:dyDescent="0.4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3" x14ac:dyDescent="0.35">
      <c r="A2" s="7" t="s">
        <v>1</v>
      </c>
      <c r="B2" s="7"/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3" x14ac:dyDescent="0.35">
      <c r="A3" s="7" t="s">
        <v>3</v>
      </c>
      <c r="B3" s="7"/>
      <c r="C3" s="2" t="s">
        <v>533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3" x14ac:dyDescent="0.35">
      <c r="A4" s="44" t="s">
        <v>4</v>
      </c>
      <c r="B4" s="44" t="s">
        <v>5</v>
      </c>
      <c r="C4" s="44" t="s">
        <v>6</v>
      </c>
      <c r="D4" s="44" t="s">
        <v>7</v>
      </c>
      <c r="E4" s="44" t="s">
        <v>8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5" t="s">
        <v>106</v>
      </c>
      <c r="T4" s="44" t="s">
        <v>9</v>
      </c>
      <c r="U4" s="44"/>
      <c r="V4" s="44"/>
      <c r="W4" s="45" t="s">
        <v>522</v>
      </c>
      <c r="X4" s="44" t="s">
        <v>10</v>
      </c>
      <c r="Y4" s="44"/>
      <c r="Z4" s="44"/>
      <c r="AA4" s="44"/>
      <c r="AB4" s="44"/>
      <c r="AC4" s="44"/>
      <c r="AD4" s="44"/>
      <c r="AE4" s="25" t="s">
        <v>540</v>
      </c>
    </row>
    <row r="5" spans="1:33" x14ac:dyDescent="0.35">
      <c r="A5" s="44"/>
      <c r="B5" s="44"/>
      <c r="C5" s="44"/>
      <c r="D5" s="44"/>
      <c r="E5" s="44" t="s">
        <v>11</v>
      </c>
      <c r="F5" s="44" t="s">
        <v>107</v>
      </c>
      <c r="G5" s="44" t="s">
        <v>12</v>
      </c>
      <c r="H5" s="44" t="s">
        <v>13</v>
      </c>
      <c r="I5" s="44" t="s">
        <v>14</v>
      </c>
      <c r="J5" s="44" t="s">
        <v>15</v>
      </c>
      <c r="K5" s="44" t="s">
        <v>16</v>
      </c>
      <c r="L5" s="24" t="s">
        <v>523</v>
      </c>
      <c r="M5" s="24" t="s">
        <v>527</v>
      </c>
      <c r="N5" s="44" t="s">
        <v>18</v>
      </c>
      <c r="O5" s="24" t="s">
        <v>528</v>
      </c>
      <c r="P5" s="44" t="s">
        <v>19</v>
      </c>
      <c r="Q5" s="44" t="s">
        <v>20</v>
      </c>
      <c r="R5" s="24" t="s">
        <v>387</v>
      </c>
      <c r="S5" s="43"/>
      <c r="T5" s="44"/>
      <c r="U5" s="44"/>
      <c r="V5" s="44"/>
      <c r="W5" s="43"/>
      <c r="X5" s="44" t="s">
        <v>22</v>
      </c>
      <c r="Y5" s="44" t="s">
        <v>23</v>
      </c>
      <c r="Z5" s="44" t="s">
        <v>26</v>
      </c>
      <c r="AA5" s="44" t="s">
        <v>27</v>
      </c>
      <c r="AB5" s="44" t="s">
        <v>178</v>
      </c>
      <c r="AC5" s="44" t="s">
        <v>30</v>
      </c>
      <c r="AD5" s="44" t="s">
        <v>31</v>
      </c>
      <c r="AE5" s="43"/>
    </row>
    <row r="6" spans="1:33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3"/>
      <c r="T6" s="44"/>
      <c r="U6" s="44"/>
      <c r="V6" s="44"/>
      <c r="W6" s="43"/>
      <c r="X6" s="44"/>
      <c r="Y6" s="44"/>
      <c r="Z6" s="44"/>
      <c r="AA6" s="44"/>
      <c r="AB6" s="44"/>
      <c r="AC6" s="44"/>
      <c r="AD6" s="44"/>
      <c r="AE6" s="43"/>
    </row>
    <row r="7" spans="1:33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6"/>
      <c r="T7" s="9" t="s">
        <v>33</v>
      </c>
      <c r="U7" s="9" t="s">
        <v>34</v>
      </c>
      <c r="V7" s="9" t="s">
        <v>35</v>
      </c>
      <c r="W7" s="43"/>
      <c r="X7" s="44"/>
      <c r="Y7" s="44"/>
      <c r="Z7" s="44"/>
      <c r="AA7" s="44"/>
      <c r="AB7" s="44"/>
      <c r="AC7" s="44"/>
      <c r="AD7" s="44"/>
      <c r="AE7" s="43"/>
    </row>
    <row r="8" spans="1:33" x14ac:dyDescent="0.35">
      <c r="A8" s="4">
        <v>1</v>
      </c>
      <c r="B8" s="4" t="s">
        <v>252</v>
      </c>
      <c r="C8" s="4" t="s">
        <v>287</v>
      </c>
      <c r="D8" s="4">
        <v>4316</v>
      </c>
      <c r="E8" s="4">
        <v>88</v>
      </c>
      <c r="F8" s="4"/>
      <c r="G8" s="4">
        <v>90</v>
      </c>
      <c r="H8" s="4">
        <v>88</v>
      </c>
      <c r="I8" s="4">
        <v>92</v>
      </c>
      <c r="J8" s="4">
        <v>85</v>
      </c>
      <c r="K8" s="4">
        <v>89</v>
      </c>
      <c r="L8" s="4">
        <v>78</v>
      </c>
      <c r="M8" s="16">
        <v>95</v>
      </c>
      <c r="N8" s="4">
        <v>86</v>
      </c>
      <c r="O8" s="4">
        <v>81</v>
      </c>
      <c r="P8" s="4">
        <v>84</v>
      </c>
      <c r="Q8" s="4">
        <v>83</v>
      </c>
      <c r="R8" s="4">
        <v>86</v>
      </c>
      <c r="S8" s="5">
        <f t="shared" ref="S8:S42" si="0">AVERAGE(E8:R8)</f>
        <v>86.538461538461533</v>
      </c>
      <c r="T8" s="4">
        <v>1</v>
      </c>
      <c r="U8" s="4">
        <v>2</v>
      </c>
      <c r="V8" s="4">
        <v>0</v>
      </c>
      <c r="W8" s="17" t="s">
        <v>537</v>
      </c>
      <c r="X8" s="4" t="s">
        <v>38</v>
      </c>
      <c r="Y8" s="4"/>
      <c r="Z8" s="4"/>
      <c r="AA8" s="4"/>
      <c r="AB8" s="4"/>
      <c r="AC8" s="4"/>
      <c r="AD8" s="11"/>
      <c r="AE8" s="20" t="s">
        <v>545</v>
      </c>
      <c r="AG8" s="18"/>
    </row>
    <row r="9" spans="1:33" x14ac:dyDescent="0.35">
      <c r="A9" s="4">
        <v>2</v>
      </c>
      <c r="B9" s="4" t="s">
        <v>253</v>
      </c>
      <c r="C9" s="4" t="s">
        <v>288</v>
      </c>
      <c r="D9" s="4">
        <v>4326</v>
      </c>
      <c r="E9" s="4">
        <v>86</v>
      </c>
      <c r="F9" s="4"/>
      <c r="G9" s="4">
        <v>89</v>
      </c>
      <c r="H9" s="4">
        <v>83</v>
      </c>
      <c r="I9" s="4">
        <v>84</v>
      </c>
      <c r="J9" s="4">
        <v>85</v>
      </c>
      <c r="K9" s="4">
        <v>88</v>
      </c>
      <c r="L9" s="4">
        <v>84</v>
      </c>
      <c r="M9" s="16">
        <v>98</v>
      </c>
      <c r="N9" s="4">
        <v>85</v>
      </c>
      <c r="O9" s="4">
        <v>80</v>
      </c>
      <c r="P9" s="4">
        <v>83</v>
      </c>
      <c r="Q9" s="4">
        <v>83</v>
      </c>
      <c r="R9" s="4">
        <v>88</v>
      </c>
      <c r="S9" s="5">
        <f t="shared" si="0"/>
        <v>85.84615384615384</v>
      </c>
      <c r="T9" s="4">
        <v>8</v>
      </c>
      <c r="U9" s="4">
        <v>0</v>
      </c>
      <c r="V9" s="4">
        <v>2</v>
      </c>
      <c r="W9" s="17" t="s">
        <v>537</v>
      </c>
      <c r="X9" s="4" t="s">
        <v>38</v>
      </c>
      <c r="Y9" s="4"/>
      <c r="Z9" s="4"/>
      <c r="AA9" s="4"/>
      <c r="AB9" s="4"/>
      <c r="AC9" s="4"/>
      <c r="AD9" s="11"/>
      <c r="AE9" s="20" t="s">
        <v>545</v>
      </c>
      <c r="AG9" s="18"/>
    </row>
    <row r="10" spans="1:33" x14ac:dyDescent="0.35">
      <c r="A10" s="4">
        <v>3</v>
      </c>
      <c r="B10" s="4" t="s">
        <v>254</v>
      </c>
      <c r="C10" s="4" t="s">
        <v>289</v>
      </c>
      <c r="D10" s="4">
        <v>4331</v>
      </c>
      <c r="E10" s="4">
        <v>89</v>
      </c>
      <c r="F10" s="4"/>
      <c r="G10" s="4">
        <v>91</v>
      </c>
      <c r="H10" s="4">
        <v>90</v>
      </c>
      <c r="I10" s="4">
        <v>92</v>
      </c>
      <c r="J10" s="4">
        <v>86</v>
      </c>
      <c r="K10" s="4">
        <v>91</v>
      </c>
      <c r="L10" s="4">
        <v>80</v>
      </c>
      <c r="M10" s="16">
        <v>87</v>
      </c>
      <c r="N10" s="4">
        <v>85</v>
      </c>
      <c r="O10" s="4">
        <v>86</v>
      </c>
      <c r="P10" s="4">
        <v>86</v>
      </c>
      <c r="Q10" s="4">
        <v>86</v>
      </c>
      <c r="R10" s="4">
        <v>90</v>
      </c>
      <c r="S10" s="5">
        <f t="shared" si="0"/>
        <v>87.615384615384613</v>
      </c>
      <c r="T10" s="4">
        <v>0</v>
      </c>
      <c r="U10" s="4">
        <v>0</v>
      </c>
      <c r="V10" s="4">
        <v>0</v>
      </c>
      <c r="W10" s="17" t="s">
        <v>538</v>
      </c>
      <c r="X10" s="4" t="s">
        <v>38</v>
      </c>
      <c r="Y10" s="4"/>
      <c r="Z10" s="4"/>
      <c r="AA10" s="4"/>
      <c r="AB10" s="4"/>
      <c r="AC10" s="4"/>
      <c r="AD10" s="11"/>
      <c r="AE10" s="20" t="s">
        <v>545</v>
      </c>
      <c r="AG10" s="18"/>
    </row>
    <row r="11" spans="1:33" x14ac:dyDescent="0.35">
      <c r="A11" s="4">
        <v>4</v>
      </c>
      <c r="B11" s="4" t="s">
        <v>255</v>
      </c>
      <c r="C11" s="4" t="s">
        <v>290</v>
      </c>
      <c r="D11" s="4">
        <v>4334</v>
      </c>
      <c r="E11" s="4">
        <v>89</v>
      </c>
      <c r="F11" s="4"/>
      <c r="G11" s="4">
        <v>89</v>
      </c>
      <c r="H11" s="4">
        <v>88</v>
      </c>
      <c r="I11" s="4">
        <v>80</v>
      </c>
      <c r="J11" s="4">
        <v>85</v>
      </c>
      <c r="K11" s="4">
        <v>91</v>
      </c>
      <c r="L11" s="4">
        <v>81</v>
      </c>
      <c r="M11" s="16">
        <v>87</v>
      </c>
      <c r="N11" s="4">
        <v>89</v>
      </c>
      <c r="O11" s="4">
        <v>85</v>
      </c>
      <c r="P11" s="4">
        <v>84</v>
      </c>
      <c r="Q11" s="4">
        <v>86</v>
      </c>
      <c r="R11" s="4">
        <v>89</v>
      </c>
      <c r="S11" s="5">
        <f t="shared" si="0"/>
        <v>86.384615384615387</v>
      </c>
      <c r="T11" s="4">
        <v>0</v>
      </c>
      <c r="U11" s="4">
        <v>2</v>
      </c>
      <c r="V11" s="4">
        <v>0</v>
      </c>
      <c r="W11" s="21" t="s">
        <v>537</v>
      </c>
      <c r="X11" s="4" t="s">
        <v>43</v>
      </c>
      <c r="Y11" s="4"/>
      <c r="Z11" s="4"/>
      <c r="AA11" s="4"/>
      <c r="AB11" s="4"/>
      <c r="AC11" s="4"/>
      <c r="AD11" s="11"/>
      <c r="AE11" s="20" t="s">
        <v>543</v>
      </c>
      <c r="AG11" s="18"/>
    </row>
    <row r="12" spans="1:33" x14ac:dyDescent="0.35">
      <c r="A12" s="4">
        <v>5</v>
      </c>
      <c r="B12" s="4" t="s">
        <v>256</v>
      </c>
      <c r="C12" s="4" t="s">
        <v>291</v>
      </c>
      <c r="D12" s="4">
        <v>4338</v>
      </c>
      <c r="E12" s="4">
        <v>90</v>
      </c>
      <c r="F12" s="4"/>
      <c r="G12" s="4">
        <v>88</v>
      </c>
      <c r="H12" s="4">
        <v>78</v>
      </c>
      <c r="I12" s="4">
        <v>85</v>
      </c>
      <c r="J12" s="4">
        <v>83</v>
      </c>
      <c r="K12" s="4">
        <v>89</v>
      </c>
      <c r="L12" s="4">
        <v>79</v>
      </c>
      <c r="M12" s="16">
        <v>86</v>
      </c>
      <c r="N12" s="4">
        <v>85</v>
      </c>
      <c r="O12" s="4">
        <v>80</v>
      </c>
      <c r="P12" s="4">
        <v>81</v>
      </c>
      <c r="Q12" s="4">
        <v>80</v>
      </c>
      <c r="R12" s="4">
        <v>88</v>
      </c>
      <c r="S12" s="5">
        <f t="shared" si="0"/>
        <v>84</v>
      </c>
      <c r="T12" s="4">
        <v>2</v>
      </c>
      <c r="U12" s="4">
        <v>0</v>
      </c>
      <c r="V12" s="4">
        <v>2</v>
      </c>
      <c r="W12" s="21" t="s">
        <v>537</v>
      </c>
      <c r="X12" s="4" t="s">
        <v>38</v>
      </c>
      <c r="Y12" s="4"/>
      <c r="Z12" s="4"/>
      <c r="AA12" s="4"/>
      <c r="AB12" s="4"/>
      <c r="AC12" s="4"/>
      <c r="AD12" s="11"/>
      <c r="AE12" s="20" t="s">
        <v>545</v>
      </c>
      <c r="AG12" s="18"/>
    </row>
    <row r="13" spans="1:33" x14ac:dyDescent="0.35">
      <c r="A13" s="4">
        <v>6</v>
      </c>
      <c r="B13" s="4" t="s">
        <v>257</v>
      </c>
      <c r="C13" s="4" t="s">
        <v>292</v>
      </c>
      <c r="D13" s="4">
        <v>4343</v>
      </c>
      <c r="E13" s="4">
        <v>83</v>
      </c>
      <c r="F13" s="4"/>
      <c r="G13" s="4">
        <v>86</v>
      </c>
      <c r="H13" s="4">
        <v>79</v>
      </c>
      <c r="I13" s="4">
        <v>83</v>
      </c>
      <c r="J13" s="4">
        <v>83</v>
      </c>
      <c r="K13" s="4">
        <v>90</v>
      </c>
      <c r="L13" s="4">
        <v>78</v>
      </c>
      <c r="M13" s="16">
        <v>88</v>
      </c>
      <c r="N13" s="4">
        <v>85</v>
      </c>
      <c r="O13" s="4">
        <v>80</v>
      </c>
      <c r="P13" s="4">
        <v>81</v>
      </c>
      <c r="Q13" s="4">
        <v>79</v>
      </c>
      <c r="R13" s="4">
        <v>78</v>
      </c>
      <c r="S13" s="5">
        <f t="shared" si="0"/>
        <v>82.538461538461533</v>
      </c>
      <c r="T13" s="4">
        <v>1</v>
      </c>
      <c r="U13" s="4">
        <v>0</v>
      </c>
      <c r="V13" s="4">
        <v>3</v>
      </c>
      <c r="W13" s="21" t="s">
        <v>537</v>
      </c>
      <c r="X13" s="4" t="s">
        <v>38</v>
      </c>
      <c r="Y13" s="4"/>
      <c r="Z13" s="4"/>
      <c r="AA13" s="4"/>
      <c r="AB13" s="4"/>
      <c r="AC13" s="4"/>
      <c r="AD13" s="11"/>
      <c r="AE13" s="20" t="s">
        <v>545</v>
      </c>
      <c r="AG13" s="18"/>
    </row>
    <row r="14" spans="1:33" x14ac:dyDescent="0.35">
      <c r="A14" s="4">
        <v>7</v>
      </c>
      <c r="B14" s="4" t="s">
        <v>258</v>
      </c>
      <c r="C14" s="4" t="s">
        <v>293</v>
      </c>
      <c r="D14" s="4">
        <v>4350</v>
      </c>
      <c r="E14" s="4">
        <v>87</v>
      </c>
      <c r="F14" s="4"/>
      <c r="G14" s="4">
        <v>88</v>
      </c>
      <c r="H14" s="4">
        <v>89</v>
      </c>
      <c r="I14" s="4">
        <v>90</v>
      </c>
      <c r="J14" s="4">
        <v>83</v>
      </c>
      <c r="K14" s="4">
        <v>89</v>
      </c>
      <c r="L14" s="4">
        <v>87</v>
      </c>
      <c r="M14" s="16">
        <v>87</v>
      </c>
      <c r="N14" s="4">
        <v>86</v>
      </c>
      <c r="O14" s="4">
        <v>91</v>
      </c>
      <c r="P14" s="4">
        <v>85</v>
      </c>
      <c r="Q14" s="4">
        <v>84</v>
      </c>
      <c r="R14" s="4">
        <v>88</v>
      </c>
      <c r="S14" s="5">
        <f t="shared" si="0"/>
        <v>87.230769230769226</v>
      </c>
      <c r="T14" s="4">
        <v>0</v>
      </c>
      <c r="U14" s="4">
        <v>0</v>
      </c>
      <c r="V14" s="4">
        <v>0</v>
      </c>
      <c r="W14" s="17" t="s">
        <v>537</v>
      </c>
      <c r="X14" s="4" t="s">
        <v>43</v>
      </c>
      <c r="Y14" s="4"/>
      <c r="Z14" s="4"/>
      <c r="AA14" s="4"/>
      <c r="AB14" s="4"/>
      <c r="AC14" s="4"/>
      <c r="AD14" s="11"/>
      <c r="AE14" s="20" t="s">
        <v>545</v>
      </c>
      <c r="AG14" s="18"/>
    </row>
    <row r="15" spans="1:33" x14ac:dyDescent="0.35">
      <c r="A15" s="4">
        <v>8</v>
      </c>
      <c r="B15" s="4" t="s">
        <v>259</v>
      </c>
      <c r="C15" s="4" t="s">
        <v>294</v>
      </c>
      <c r="D15" s="4">
        <v>4352</v>
      </c>
      <c r="E15" s="4">
        <v>87</v>
      </c>
      <c r="F15" s="4"/>
      <c r="G15" s="4">
        <v>90</v>
      </c>
      <c r="H15" s="4">
        <v>82</v>
      </c>
      <c r="I15" s="4">
        <v>82</v>
      </c>
      <c r="J15" s="4">
        <v>85</v>
      </c>
      <c r="K15" s="4">
        <v>88</v>
      </c>
      <c r="L15" s="4">
        <v>84</v>
      </c>
      <c r="M15" s="16">
        <v>87</v>
      </c>
      <c r="N15" s="4">
        <v>86</v>
      </c>
      <c r="O15" s="4">
        <v>85</v>
      </c>
      <c r="P15" s="4">
        <v>84</v>
      </c>
      <c r="Q15" s="4">
        <v>83</v>
      </c>
      <c r="R15" s="4">
        <v>79</v>
      </c>
      <c r="S15" s="5">
        <f t="shared" si="0"/>
        <v>84.769230769230774</v>
      </c>
      <c r="T15" s="4">
        <v>1</v>
      </c>
      <c r="U15" s="4">
        <v>0</v>
      </c>
      <c r="V15" s="4">
        <v>0</v>
      </c>
      <c r="W15" s="17" t="s">
        <v>537</v>
      </c>
      <c r="X15" s="4" t="s">
        <v>38</v>
      </c>
      <c r="Y15" s="4"/>
      <c r="Z15" s="4"/>
      <c r="AA15" s="4"/>
      <c r="AB15" s="4"/>
      <c r="AC15" s="4"/>
      <c r="AD15" s="11"/>
      <c r="AE15" s="20" t="s">
        <v>545</v>
      </c>
      <c r="AG15" s="18"/>
    </row>
    <row r="16" spans="1:33" x14ac:dyDescent="0.35">
      <c r="A16" s="4">
        <v>9</v>
      </c>
      <c r="B16" s="4" t="s">
        <v>260</v>
      </c>
      <c r="C16" s="4" t="s">
        <v>295</v>
      </c>
      <c r="D16" s="4">
        <v>4356</v>
      </c>
      <c r="E16" s="4">
        <v>87</v>
      </c>
      <c r="F16" s="4"/>
      <c r="G16" s="4">
        <v>90</v>
      </c>
      <c r="H16" s="4">
        <v>90</v>
      </c>
      <c r="I16" s="4">
        <v>85</v>
      </c>
      <c r="J16" s="4">
        <v>85</v>
      </c>
      <c r="K16" s="4">
        <v>91</v>
      </c>
      <c r="L16" s="4">
        <v>81</v>
      </c>
      <c r="M16" s="16">
        <v>95</v>
      </c>
      <c r="N16" s="4">
        <v>86</v>
      </c>
      <c r="O16" s="4">
        <v>85</v>
      </c>
      <c r="P16" s="4">
        <v>82</v>
      </c>
      <c r="Q16" s="4">
        <v>84</v>
      </c>
      <c r="R16" s="4">
        <v>80</v>
      </c>
      <c r="S16" s="5">
        <f t="shared" si="0"/>
        <v>86.230769230769226</v>
      </c>
      <c r="T16" s="4">
        <v>0</v>
      </c>
      <c r="U16" s="4">
        <v>1</v>
      </c>
      <c r="V16" s="4">
        <v>0</v>
      </c>
      <c r="W16" s="17" t="s">
        <v>537</v>
      </c>
      <c r="X16" s="4" t="s">
        <v>38</v>
      </c>
      <c r="Y16" s="4"/>
      <c r="Z16" s="4"/>
      <c r="AA16" s="4"/>
      <c r="AB16" s="4" t="s">
        <v>38</v>
      </c>
      <c r="AC16" s="4"/>
      <c r="AD16" s="11"/>
      <c r="AE16" s="20" t="s">
        <v>545</v>
      </c>
      <c r="AG16" s="18"/>
    </row>
    <row r="17" spans="1:33" x14ac:dyDescent="0.35">
      <c r="A17" s="4">
        <v>10</v>
      </c>
      <c r="B17" s="4" t="s">
        <v>261</v>
      </c>
      <c r="C17" s="4" t="s">
        <v>296</v>
      </c>
      <c r="D17" s="4">
        <v>4580</v>
      </c>
      <c r="E17" s="4">
        <v>89</v>
      </c>
      <c r="F17" s="4"/>
      <c r="G17" s="4">
        <v>90</v>
      </c>
      <c r="H17" s="4">
        <v>87</v>
      </c>
      <c r="I17" s="4">
        <v>90</v>
      </c>
      <c r="J17" s="4">
        <v>90</v>
      </c>
      <c r="K17" s="4">
        <v>88</v>
      </c>
      <c r="L17" s="4">
        <v>86</v>
      </c>
      <c r="M17" s="16">
        <v>86</v>
      </c>
      <c r="N17" s="4">
        <v>87</v>
      </c>
      <c r="O17" s="4">
        <v>87</v>
      </c>
      <c r="P17" s="4">
        <v>86</v>
      </c>
      <c r="Q17" s="4">
        <v>86</v>
      </c>
      <c r="R17" s="4">
        <v>89</v>
      </c>
      <c r="S17" s="5">
        <f t="shared" si="0"/>
        <v>87.769230769230774</v>
      </c>
      <c r="T17" s="4">
        <v>0</v>
      </c>
      <c r="U17" s="4">
        <v>0</v>
      </c>
      <c r="V17" s="4">
        <v>0</v>
      </c>
      <c r="W17" s="17" t="s">
        <v>538</v>
      </c>
      <c r="X17" s="4" t="s">
        <v>38</v>
      </c>
      <c r="Y17" s="4"/>
      <c r="Z17" s="4"/>
      <c r="AA17" s="4"/>
      <c r="AB17" s="4"/>
      <c r="AC17" s="4"/>
      <c r="AD17" s="11"/>
      <c r="AE17" s="20" t="s">
        <v>545</v>
      </c>
      <c r="AG17" s="18"/>
    </row>
    <row r="18" spans="1:33" x14ac:dyDescent="0.35">
      <c r="A18" s="4">
        <v>11</v>
      </c>
      <c r="B18" s="4" t="s">
        <v>262</v>
      </c>
      <c r="C18" s="4" t="s">
        <v>297</v>
      </c>
      <c r="D18" s="4">
        <v>4359</v>
      </c>
      <c r="E18" s="4">
        <v>88</v>
      </c>
      <c r="F18" s="4"/>
      <c r="G18" s="4">
        <v>90</v>
      </c>
      <c r="H18" s="4">
        <v>87</v>
      </c>
      <c r="I18" s="4">
        <v>91</v>
      </c>
      <c r="J18" s="4">
        <v>89</v>
      </c>
      <c r="K18" s="4">
        <v>90</v>
      </c>
      <c r="L18" s="4">
        <v>84</v>
      </c>
      <c r="M18" s="16">
        <v>88</v>
      </c>
      <c r="N18" s="4">
        <v>86</v>
      </c>
      <c r="O18" s="4">
        <v>87</v>
      </c>
      <c r="P18" s="4">
        <v>83</v>
      </c>
      <c r="Q18" s="4">
        <v>85</v>
      </c>
      <c r="R18" s="4">
        <v>85</v>
      </c>
      <c r="S18" s="5">
        <f t="shared" si="0"/>
        <v>87.15384615384616</v>
      </c>
      <c r="T18" s="4">
        <v>0</v>
      </c>
      <c r="U18" s="4">
        <v>0</v>
      </c>
      <c r="V18" s="4">
        <v>0</v>
      </c>
      <c r="W18" s="17" t="s">
        <v>538</v>
      </c>
      <c r="X18" s="4" t="s">
        <v>38</v>
      </c>
      <c r="Y18" s="4"/>
      <c r="Z18" s="4"/>
      <c r="AA18" s="4"/>
      <c r="AB18" s="4"/>
      <c r="AC18" s="4"/>
      <c r="AD18" s="11"/>
      <c r="AE18" s="20" t="s">
        <v>545</v>
      </c>
      <c r="AG18" s="18"/>
    </row>
    <row r="19" spans="1:33" x14ac:dyDescent="0.35">
      <c r="A19" s="4">
        <v>12</v>
      </c>
      <c r="B19" s="4" t="s">
        <v>263</v>
      </c>
      <c r="C19" s="4" t="s">
        <v>298</v>
      </c>
      <c r="D19" s="4">
        <v>4373</v>
      </c>
      <c r="E19" s="4">
        <v>87</v>
      </c>
      <c r="F19" s="4"/>
      <c r="G19" s="4">
        <v>89</v>
      </c>
      <c r="H19" s="4">
        <v>82</v>
      </c>
      <c r="I19" s="4">
        <v>90</v>
      </c>
      <c r="J19" s="4">
        <v>90</v>
      </c>
      <c r="K19" s="4">
        <v>89</v>
      </c>
      <c r="L19" s="4">
        <v>87</v>
      </c>
      <c r="M19" s="16">
        <v>87</v>
      </c>
      <c r="N19" s="4">
        <v>87</v>
      </c>
      <c r="O19" s="4">
        <v>84</v>
      </c>
      <c r="P19" s="4">
        <v>82</v>
      </c>
      <c r="Q19" s="4">
        <v>84</v>
      </c>
      <c r="R19" s="4">
        <v>87</v>
      </c>
      <c r="S19" s="5">
        <f t="shared" si="0"/>
        <v>86.538461538461533</v>
      </c>
      <c r="T19" s="4">
        <v>0</v>
      </c>
      <c r="U19" s="4">
        <v>0</v>
      </c>
      <c r="V19" s="4">
        <v>0</v>
      </c>
      <c r="W19" s="17" t="s">
        <v>538</v>
      </c>
      <c r="X19" s="4" t="s">
        <v>38</v>
      </c>
      <c r="Y19" s="4"/>
      <c r="Z19" s="4"/>
      <c r="AA19" s="4"/>
      <c r="AB19" s="4"/>
      <c r="AC19" s="4"/>
      <c r="AD19" s="11"/>
      <c r="AE19" s="20" t="s">
        <v>545</v>
      </c>
      <c r="AG19" s="18"/>
    </row>
    <row r="20" spans="1:33" x14ac:dyDescent="0.35">
      <c r="A20" s="4">
        <v>13</v>
      </c>
      <c r="B20" s="4" t="s">
        <v>264</v>
      </c>
      <c r="C20" s="4" t="s">
        <v>299</v>
      </c>
      <c r="D20" s="4">
        <v>4379</v>
      </c>
      <c r="E20" s="4">
        <v>89</v>
      </c>
      <c r="F20" s="4"/>
      <c r="G20" s="4">
        <v>91</v>
      </c>
      <c r="H20" s="4">
        <v>80</v>
      </c>
      <c r="I20" s="4">
        <v>91</v>
      </c>
      <c r="J20" s="4">
        <v>91</v>
      </c>
      <c r="K20" s="4">
        <v>90</v>
      </c>
      <c r="L20" s="4">
        <v>89</v>
      </c>
      <c r="M20" s="16">
        <v>85</v>
      </c>
      <c r="N20" s="4">
        <v>89</v>
      </c>
      <c r="O20" s="4">
        <v>91</v>
      </c>
      <c r="P20" s="4">
        <v>89</v>
      </c>
      <c r="Q20" s="4">
        <v>88</v>
      </c>
      <c r="R20" s="4">
        <v>95</v>
      </c>
      <c r="S20" s="5">
        <f t="shared" si="0"/>
        <v>89.07692307692308</v>
      </c>
      <c r="T20" s="4">
        <v>0</v>
      </c>
      <c r="U20" s="4">
        <v>0</v>
      </c>
      <c r="V20" s="4">
        <v>0</v>
      </c>
      <c r="W20" s="17" t="s">
        <v>538</v>
      </c>
      <c r="X20" s="4" t="s">
        <v>38</v>
      </c>
      <c r="Y20" s="4"/>
      <c r="Z20" s="4"/>
      <c r="AA20" s="4"/>
      <c r="AB20" s="4"/>
      <c r="AC20" s="4"/>
      <c r="AD20" s="11" t="s">
        <v>38</v>
      </c>
      <c r="AE20" s="20" t="s">
        <v>545</v>
      </c>
      <c r="AG20" s="18"/>
    </row>
    <row r="21" spans="1:33" x14ac:dyDescent="0.35">
      <c r="A21" s="4">
        <v>14</v>
      </c>
      <c r="B21" s="4" t="s">
        <v>265</v>
      </c>
      <c r="C21" s="4" t="s">
        <v>300</v>
      </c>
      <c r="D21" s="4">
        <v>4384</v>
      </c>
      <c r="E21" s="4">
        <v>90</v>
      </c>
      <c r="F21" s="4"/>
      <c r="G21" s="4">
        <v>90</v>
      </c>
      <c r="H21" s="4">
        <v>81</v>
      </c>
      <c r="I21" s="4">
        <v>89</v>
      </c>
      <c r="J21" s="4">
        <v>85</v>
      </c>
      <c r="K21" s="4">
        <v>90</v>
      </c>
      <c r="L21" s="4">
        <v>85</v>
      </c>
      <c r="M21" s="16">
        <v>92</v>
      </c>
      <c r="N21" s="4">
        <v>87</v>
      </c>
      <c r="O21" s="4">
        <v>84</v>
      </c>
      <c r="P21" s="4">
        <v>85</v>
      </c>
      <c r="Q21" s="4">
        <v>89</v>
      </c>
      <c r="R21" s="4">
        <v>95</v>
      </c>
      <c r="S21" s="5">
        <f t="shared" si="0"/>
        <v>87.84615384615384</v>
      </c>
      <c r="T21" s="4">
        <v>1</v>
      </c>
      <c r="U21" s="4">
        <v>1</v>
      </c>
      <c r="V21" s="4">
        <v>0</v>
      </c>
      <c r="W21" s="17" t="s">
        <v>537</v>
      </c>
      <c r="X21" s="4" t="s">
        <v>38</v>
      </c>
      <c r="Y21" s="4"/>
      <c r="Z21" s="4"/>
      <c r="AA21" s="4"/>
      <c r="AB21" s="4"/>
      <c r="AC21" s="4"/>
      <c r="AD21" s="11"/>
      <c r="AE21" s="20" t="s">
        <v>545</v>
      </c>
      <c r="AG21" s="18"/>
    </row>
    <row r="22" spans="1:33" x14ac:dyDescent="0.35">
      <c r="A22" s="4">
        <v>15</v>
      </c>
      <c r="B22" s="4" t="s">
        <v>266</v>
      </c>
      <c r="C22" s="4" t="s">
        <v>301</v>
      </c>
      <c r="D22" s="4">
        <v>4387</v>
      </c>
      <c r="E22" s="4">
        <v>87</v>
      </c>
      <c r="F22" s="4"/>
      <c r="G22" s="4">
        <v>90</v>
      </c>
      <c r="H22" s="4">
        <v>86</v>
      </c>
      <c r="I22" s="4">
        <v>88</v>
      </c>
      <c r="J22" s="4">
        <v>86</v>
      </c>
      <c r="K22" s="4">
        <v>88</v>
      </c>
      <c r="L22" s="4">
        <v>84</v>
      </c>
      <c r="M22" s="16">
        <v>87</v>
      </c>
      <c r="N22" s="4">
        <v>86</v>
      </c>
      <c r="O22" s="4">
        <v>85</v>
      </c>
      <c r="P22" s="4">
        <v>84</v>
      </c>
      <c r="Q22" s="4">
        <v>85</v>
      </c>
      <c r="R22" s="4">
        <v>85</v>
      </c>
      <c r="S22" s="5">
        <f t="shared" si="0"/>
        <v>86.230769230769226</v>
      </c>
      <c r="T22" s="4">
        <v>0</v>
      </c>
      <c r="U22" s="4">
        <v>0</v>
      </c>
      <c r="V22" s="4">
        <v>0</v>
      </c>
      <c r="W22" s="17" t="s">
        <v>538</v>
      </c>
      <c r="X22" s="4" t="s">
        <v>38</v>
      </c>
      <c r="Y22" s="4"/>
      <c r="Z22" s="4"/>
      <c r="AA22" s="4"/>
      <c r="AB22" s="4"/>
      <c r="AC22" s="4"/>
      <c r="AD22" s="11"/>
      <c r="AE22" s="20" t="s">
        <v>545</v>
      </c>
      <c r="AG22" s="18"/>
    </row>
    <row r="23" spans="1:33" x14ac:dyDescent="0.35">
      <c r="A23" s="4">
        <v>16</v>
      </c>
      <c r="B23" s="4" t="s">
        <v>267</v>
      </c>
      <c r="C23" s="4" t="s">
        <v>302</v>
      </c>
      <c r="D23" s="4">
        <v>4394</v>
      </c>
      <c r="E23" s="4">
        <v>85</v>
      </c>
      <c r="F23" s="4"/>
      <c r="G23" s="4">
        <v>89</v>
      </c>
      <c r="H23" s="4">
        <v>77</v>
      </c>
      <c r="I23" s="4">
        <v>73</v>
      </c>
      <c r="J23" s="4">
        <v>80</v>
      </c>
      <c r="K23" s="4">
        <v>89</v>
      </c>
      <c r="L23" s="4">
        <v>79</v>
      </c>
      <c r="M23" s="16">
        <v>85</v>
      </c>
      <c r="N23" s="4">
        <v>85</v>
      </c>
      <c r="O23" s="4">
        <v>80</v>
      </c>
      <c r="P23" s="4">
        <v>80</v>
      </c>
      <c r="Q23" s="4">
        <v>80</v>
      </c>
      <c r="R23" s="4">
        <v>79</v>
      </c>
      <c r="S23" s="5">
        <f t="shared" si="0"/>
        <v>81.615384615384613</v>
      </c>
      <c r="T23" s="4">
        <v>2</v>
      </c>
      <c r="U23" s="4">
        <v>0</v>
      </c>
      <c r="V23" s="4">
        <v>2</v>
      </c>
      <c r="W23" s="17" t="s">
        <v>537</v>
      </c>
      <c r="X23" s="4" t="s">
        <v>38</v>
      </c>
      <c r="Y23" s="4"/>
      <c r="Z23" s="4"/>
      <c r="AA23" s="4"/>
      <c r="AB23" s="4"/>
      <c r="AC23" s="4"/>
      <c r="AD23" s="11"/>
      <c r="AE23" s="20" t="s">
        <v>545</v>
      </c>
      <c r="AG23" s="18"/>
    </row>
    <row r="24" spans="1:33" x14ac:dyDescent="0.35">
      <c r="A24" s="4">
        <v>17</v>
      </c>
      <c r="B24" s="4" t="s">
        <v>268</v>
      </c>
      <c r="C24" s="4" t="s">
        <v>303</v>
      </c>
      <c r="D24" s="4">
        <v>4403</v>
      </c>
      <c r="E24" s="4">
        <v>90</v>
      </c>
      <c r="F24" s="4"/>
      <c r="G24" s="4">
        <v>90</v>
      </c>
      <c r="H24" s="4">
        <v>86</v>
      </c>
      <c r="I24" s="4">
        <v>86</v>
      </c>
      <c r="J24" s="4">
        <v>84</v>
      </c>
      <c r="K24" s="4">
        <v>89</v>
      </c>
      <c r="L24" s="4">
        <v>85</v>
      </c>
      <c r="M24" s="16">
        <v>87</v>
      </c>
      <c r="N24" s="4">
        <v>84</v>
      </c>
      <c r="O24" s="4">
        <v>84</v>
      </c>
      <c r="P24" s="4">
        <v>84</v>
      </c>
      <c r="Q24" s="4">
        <v>84</v>
      </c>
      <c r="R24" s="4">
        <v>88</v>
      </c>
      <c r="S24" s="5">
        <f t="shared" si="0"/>
        <v>86.230769230769226</v>
      </c>
      <c r="T24" s="4">
        <v>1</v>
      </c>
      <c r="U24" s="4">
        <v>0</v>
      </c>
      <c r="V24" s="4">
        <v>0</v>
      </c>
      <c r="W24" s="17" t="s">
        <v>537</v>
      </c>
      <c r="X24" s="4" t="s">
        <v>38</v>
      </c>
      <c r="Y24" s="4"/>
      <c r="Z24" s="4"/>
      <c r="AA24" s="4"/>
      <c r="AB24" s="4"/>
      <c r="AC24" s="4"/>
      <c r="AD24" s="11"/>
      <c r="AE24" s="20" t="s">
        <v>545</v>
      </c>
      <c r="AG24" s="18"/>
    </row>
    <row r="25" spans="1:33" x14ac:dyDescent="0.35">
      <c r="A25" s="4">
        <v>18</v>
      </c>
      <c r="B25" s="4" t="s">
        <v>269</v>
      </c>
      <c r="C25" s="4" t="s">
        <v>304</v>
      </c>
      <c r="D25" s="4">
        <v>4404</v>
      </c>
      <c r="E25" s="4">
        <v>88</v>
      </c>
      <c r="F25" s="4"/>
      <c r="G25" s="4">
        <v>90</v>
      </c>
      <c r="H25" s="4">
        <v>85</v>
      </c>
      <c r="I25" s="4">
        <v>89</v>
      </c>
      <c r="J25" s="4">
        <v>84</v>
      </c>
      <c r="K25" s="4">
        <v>88</v>
      </c>
      <c r="L25" s="4">
        <v>84</v>
      </c>
      <c r="M25" s="16">
        <v>85</v>
      </c>
      <c r="N25" s="4">
        <v>88</v>
      </c>
      <c r="O25" s="4">
        <v>90</v>
      </c>
      <c r="P25" s="4">
        <v>84</v>
      </c>
      <c r="Q25" s="4">
        <v>90</v>
      </c>
      <c r="R25" s="4">
        <v>95</v>
      </c>
      <c r="S25" s="5">
        <f t="shared" si="0"/>
        <v>87.692307692307693</v>
      </c>
      <c r="T25" s="4">
        <v>0</v>
      </c>
      <c r="U25" s="4">
        <v>0</v>
      </c>
      <c r="V25" s="4">
        <v>0</v>
      </c>
      <c r="W25" s="17" t="s">
        <v>538</v>
      </c>
      <c r="X25" s="4" t="s">
        <v>38</v>
      </c>
      <c r="Y25" s="4"/>
      <c r="Z25" s="4"/>
      <c r="AA25" s="4"/>
      <c r="AB25" s="4"/>
      <c r="AC25" s="4"/>
      <c r="AD25" s="11"/>
      <c r="AE25" s="20" t="s">
        <v>545</v>
      </c>
      <c r="AG25" s="18"/>
    </row>
    <row r="26" spans="1:33" x14ac:dyDescent="0.35">
      <c r="A26" s="4">
        <v>19</v>
      </c>
      <c r="B26" s="4" t="s">
        <v>270</v>
      </c>
      <c r="C26" s="4" t="s">
        <v>305</v>
      </c>
      <c r="D26" s="4">
        <v>4417</v>
      </c>
      <c r="E26" s="4">
        <v>86</v>
      </c>
      <c r="F26" s="4"/>
      <c r="G26" s="4">
        <v>91</v>
      </c>
      <c r="H26" s="4">
        <v>81</v>
      </c>
      <c r="I26" s="4">
        <v>88</v>
      </c>
      <c r="J26" s="4">
        <v>83</v>
      </c>
      <c r="K26" s="4">
        <v>88</v>
      </c>
      <c r="L26" s="4">
        <v>83</v>
      </c>
      <c r="M26" s="16">
        <v>86</v>
      </c>
      <c r="N26" s="4">
        <v>88</v>
      </c>
      <c r="O26" s="4">
        <v>84</v>
      </c>
      <c r="P26" s="4">
        <v>84</v>
      </c>
      <c r="Q26" s="4">
        <v>84</v>
      </c>
      <c r="R26" s="4">
        <v>86</v>
      </c>
      <c r="S26" s="5">
        <f t="shared" si="0"/>
        <v>85.538461538461533</v>
      </c>
      <c r="T26" s="4">
        <v>0</v>
      </c>
      <c r="U26" s="4">
        <v>0</v>
      </c>
      <c r="V26" s="4">
        <v>0</v>
      </c>
      <c r="W26" s="17" t="s">
        <v>537</v>
      </c>
      <c r="X26" s="4" t="s">
        <v>38</v>
      </c>
      <c r="Y26" s="4"/>
      <c r="Z26" s="4"/>
      <c r="AA26" s="4"/>
      <c r="AB26" s="4"/>
      <c r="AC26" s="4"/>
      <c r="AD26" s="11"/>
      <c r="AE26" s="20" t="s">
        <v>545</v>
      </c>
      <c r="AG26" s="18"/>
    </row>
    <row r="27" spans="1:33" x14ac:dyDescent="0.35">
      <c r="A27" s="4">
        <v>20</v>
      </c>
      <c r="B27" s="4" t="s">
        <v>271</v>
      </c>
      <c r="C27" s="4" t="s">
        <v>306</v>
      </c>
      <c r="D27" s="4">
        <v>4418</v>
      </c>
      <c r="E27" s="4">
        <v>85</v>
      </c>
      <c r="F27" s="4"/>
      <c r="G27" s="4">
        <v>91</v>
      </c>
      <c r="H27" s="4">
        <v>80</v>
      </c>
      <c r="I27" s="4">
        <v>90</v>
      </c>
      <c r="J27" s="4">
        <v>86</v>
      </c>
      <c r="K27" s="4">
        <v>89</v>
      </c>
      <c r="L27" s="4">
        <v>86</v>
      </c>
      <c r="M27" s="16">
        <v>91</v>
      </c>
      <c r="N27" s="4">
        <v>87</v>
      </c>
      <c r="O27" s="4">
        <v>86</v>
      </c>
      <c r="P27" s="4">
        <v>86</v>
      </c>
      <c r="Q27" s="4">
        <v>83</v>
      </c>
      <c r="R27" s="4">
        <v>89</v>
      </c>
      <c r="S27" s="5">
        <f t="shared" si="0"/>
        <v>86.84615384615384</v>
      </c>
      <c r="T27" s="4">
        <v>0</v>
      </c>
      <c r="U27" s="4">
        <v>0</v>
      </c>
      <c r="V27" s="4">
        <v>0</v>
      </c>
      <c r="W27" s="21" t="s">
        <v>537</v>
      </c>
      <c r="X27" s="4" t="s">
        <v>38</v>
      </c>
      <c r="Y27" s="4"/>
      <c r="Z27" s="4"/>
      <c r="AA27" s="4"/>
      <c r="AB27" s="4"/>
      <c r="AC27" s="4"/>
      <c r="AD27" s="11"/>
      <c r="AE27" s="20" t="s">
        <v>545</v>
      </c>
      <c r="AG27" s="18"/>
    </row>
    <row r="28" spans="1:33" x14ac:dyDescent="0.35">
      <c r="A28" s="4">
        <v>21</v>
      </c>
      <c r="B28" s="4" t="s">
        <v>272</v>
      </c>
      <c r="C28" s="4" t="s">
        <v>307</v>
      </c>
      <c r="D28" s="4">
        <v>4426</v>
      </c>
      <c r="E28" s="4">
        <v>85</v>
      </c>
      <c r="F28" s="4"/>
      <c r="G28" s="4">
        <v>89</v>
      </c>
      <c r="H28" s="4">
        <v>80</v>
      </c>
      <c r="I28" s="4">
        <v>80</v>
      </c>
      <c r="J28" s="4">
        <v>83</v>
      </c>
      <c r="K28" s="4">
        <v>88</v>
      </c>
      <c r="L28" s="4">
        <v>79</v>
      </c>
      <c r="M28" s="16">
        <v>90</v>
      </c>
      <c r="N28" s="4">
        <v>86</v>
      </c>
      <c r="O28" s="4">
        <v>82</v>
      </c>
      <c r="P28" s="4">
        <v>84</v>
      </c>
      <c r="Q28" s="4">
        <v>83</v>
      </c>
      <c r="R28" s="4">
        <v>80</v>
      </c>
      <c r="S28" s="5">
        <f t="shared" si="0"/>
        <v>83.769230769230774</v>
      </c>
      <c r="T28" s="4">
        <v>1</v>
      </c>
      <c r="U28" s="4">
        <v>0</v>
      </c>
      <c r="V28" s="4">
        <v>3</v>
      </c>
      <c r="W28" s="17" t="s">
        <v>537</v>
      </c>
      <c r="X28" s="4" t="s">
        <v>38</v>
      </c>
      <c r="Y28" s="4"/>
      <c r="Z28" s="4"/>
      <c r="AA28" s="4"/>
      <c r="AB28" s="4"/>
      <c r="AC28" s="4"/>
      <c r="AD28" s="11"/>
      <c r="AE28" s="20" t="s">
        <v>545</v>
      </c>
      <c r="AG28" s="18"/>
    </row>
    <row r="29" spans="1:33" x14ac:dyDescent="0.35">
      <c r="A29" s="4">
        <v>22</v>
      </c>
      <c r="B29" s="4" t="s">
        <v>273</v>
      </c>
      <c r="C29" s="4" t="s">
        <v>308</v>
      </c>
      <c r="D29" s="4">
        <v>4434</v>
      </c>
      <c r="E29" s="4">
        <v>93</v>
      </c>
      <c r="F29" s="4"/>
      <c r="G29" s="4">
        <v>91</v>
      </c>
      <c r="H29" s="4">
        <v>90</v>
      </c>
      <c r="I29" s="4">
        <v>93</v>
      </c>
      <c r="J29" s="4">
        <v>83</v>
      </c>
      <c r="K29" s="4">
        <v>90</v>
      </c>
      <c r="L29" s="4">
        <v>90</v>
      </c>
      <c r="M29" s="16">
        <v>97</v>
      </c>
      <c r="N29" s="4">
        <v>90</v>
      </c>
      <c r="O29" s="4">
        <v>91</v>
      </c>
      <c r="P29" s="4">
        <v>89</v>
      </c>
      <c r="Q29" s="4">
        <v>88</v>
      </c>
      <c r="R29" s="4">
        <v>90</v>
      </c>
      <c r="S29" s="5">
        <f t="shared" si="0"/>
        <v>90.384615384615387</v>
      </c>
      <c r="T29" s="4">
        <v>0</v>
      </c>
      <c r="U29" s="4">
        <v>0</v>
      </c>
      <c r="V29" s="4">
        <v>0</v>
      </c>
      <c r="W29" s="17" t="s">
        <v>538</v>
      </c>
      <c r="X29" s="4" t="s">
        <v>38</v>
      </c>
      <c r="Y29" s="4"/>
      <c r="Z29" s="4"/>
      <c r="AA29" s="4"/>
      <c r="AB29" s="4"/>
      <c r="AC29" s="4"/>
      <c r="AD29" s="11"/>
      <c r="AE29" s="20" t="s">
        <v>545</v>
      </c>
      <c r="AG29" s="18"/>
    </row>
    <row r="30" spans="1:33" x14ac:dyDescent="0.35">
      <c r="A30" s="4">
        <v>23</v>
      </c>
      <c r="B30" s="4" t="s">
        <v>274</v>
      </c>
      <c r="C30" s="4" t="s">
        <v>309</v>
      </c>
      <c r="D30" s="4">
        <v>4874</v>
      </c>
      <c r="E30" s="4">
        <v>87</v>
      </c>
      <c r="F30" s="4"/>
      <c r="G30" s="4">
        <v>90</v>
      </c>
      <c r="H30" s="4">
        <v>85</v>
      </c>
      <c r="I30" s="4">
        <v>83</v>
      </c>
      <c r="J30" s="4">
        <v>83</v>
      </c>
      <c r="K30" s="4">
        <v>91</v>
      </c>
      <c r="L30" s="4">
        <v>79</v>
      </c>
      <c r="M30" s="16">
        <v>87</v>
      </c>
      <c r="N30" s="4">
        <v>87</v>
      </c>
      <c r="O30" s="4">
        <v>82</v>
      </c>
      <c r="P30" s="4">
        <v>82</v>
      </c>
      <c r="Q30" s="4">
        <v>84</v>
      </c>
      <c r="R30" s="4">
        <v>85</v>
      </c>
      <c r="S30" s="5">
        <f t="shared" si="0"/>
        <v>85</v>
      </c>
      <c r="T30" s="4">
        <v>2</v>
      </c>
      <c r="U30" s="4">
        <v>1</v>
      </c>
      <c r="V30" s="4">
        <v>1</v>
      </c>
      <c r="W30" s="17" t="s">
        <v>537</v>
      </c>
      <c r="X30" s="4"/>
      <c r="Y30" s="4"/>
      <c r="Z30" s="4"/>
      <c r="AA30" s="4"/>
      <c r="AB30" s="4"/>
      <c r="AC30" s="4"/>
      <c r="AD30" s="11"/>
      <c r="AE30" s="20" t="s">
        <v>545</v>
      </c>
      <c r="AG30" s="18"/>
    </row>
    <row r="31" spans="1:33" x14ac:dyDescent="0.35">
      <c r="A31" s="4">
        <v>24</v>
      </c>
      <c r="B31" s="4" t="s">
        <v>275</v>
      </c>
      <c r="C31" s="4" t="s">
        <v>310</v>
      </c>
      <c r="D31" s="4">
        <v>4448</v>
      </c>
      <c r="E31" s="4">
        <v>90</v>
      </c>
      <c r="F31" s="4"/>
      <c r="G31" s="4">
        <v>91</v>
      </c>
      <c r="H31" s="4">
        <v>80</v>
      </c>
      <c r="I31" s="4">
        <v>95</v>
      </c>
      <c r="J31" s="4">
        <v>90</v>
      </c>
      <c r="K31" s="4">
        <v>91</v>
      </c>
      <c r="L31" s="4">
        <v>90</v>
      </c>
      <c r="M31" s="16">
        <v>86</v>
      </c>
      <c r="N31" s="4">
        <v>89</v>
      </c>
      <c r="O31" s="4">
        <v>91</v>
      </c>
      <c r="P31" s="4">
        <v>89</v>
      </c>
      <c r="Q31" s="4">
        <v>89</v>
      </c>
      <c r="R31" s="4">
        <v>95</v>
      </c>
      <c r="S31" s="5">
        <f t="shared" si="0"/>
        <v>89.692307692307693</v>
      </c>
      <c r="T31" s="4">
        <v>0</v>
      </c>
      <c r="U31" s="4">
        <v>0</v>
      </c>
      <c r="V31" s="4">
        <v>0</v>
      </c>
      <c r="W31" s="17" t="s">
        <v>538</v>
      </c>
      <c r="X31" s="4" t="s">
        <v>38</v>
      </c>
      <c r="Y31" s="4" t="s">
        <v>43</v>
      </c>
      <c r="Z31" s="4"/>
      <c r="AA31" s="4"/>
      <c r="AB31" s="4"/>
      <c r="AC31" s="4" t="s">
        <v>43</v>
      </c>
      <c r="AD31" s="11"/>
      <c r="AE31" s="20" t="s">
        <v>544</v>
      </c>
      <c r="AG31" s="18"/>
    </row>
    <row r="32" spans="1:33" x14ac:dyDescent="0.35">
      <c r="A32" s="4">
        <v>25</v>
      </c>
      <c r="B32" s="4" t="s">
        <v>276</v>
      </c>
      <c r="C32" s="4" t="s">
        <v>311</v>
      </c>
      <c r="D32" s="4">
        <v>4455</v>
      </c>
      <c r="E32" s="4">
        <v>81</v>
      </c>
      <c r="F32" s="4"/>
      <c r="G32" s="4">
        <v>90</v>
      </c>
      <c r="H32" s="4">
        <v>78</v>
      </c>
      <c r="I32" s="4">
        <v>78</v>
      </c>
      <c r="J32" s="4">
        <v>81</v>
      </c>
      <c r="K32" s="4">
        <v>92</v>
      </c>
      <c r="L32" s="4">
        <v>79</v>
      </c>
      <c r="M32" s="16">
        <v>86</v>
      </c>
      <c r="N32" s="4">
        <v>85</v>
      </c>
      <c r="O32" s="4">
        <v>80</v>
      </c>
      <c r="P32" s="4">
        <v>82</v>
      </c>
      <c r="Q32" s="4">
        <v>79</v>
      </c>
      <c r="R32" s="4">
        <v>80</v>
      </c>
      <c r="S32" s="5">
        <f t="shared" si="0"/>
        <v>82.384615384615387</v>
      </c>
      <c r="T32" s="4">
        <v>3</v>
      </c>
      <c r="U32" s="4">
        <v>2</v>
      </c>
      <c r="V32" s="4">
        <v>0</v>
      </c>
      <c r="W32" s="17" t="s">
        <v>537</v>
      </c>
      <c r="X32" s="4" t="s">
        <v>38</v>
      </c>
      <c r="Y32" s="4"/>
      <c r="Z32" s="4"/>
      <c r="AA32" s="4"/>
      <c r="AB32" s="4"/>
      <c r="AC32" s="4"/>
      <c r="AD32" s="11"/>
      <c r="AE32" s="20" t="s">
        <v>545</v>
      </c>
      <c r="AG32" s="18"/>
    </row>
    <row r="33" spans="1:33" x14ac:dyDescent="0.35">
      <c r="A33" s="4">
        <v>26</v>
      </c>
      <c r="B33" s="4" t="s">
        <v>277</v>
      </c>
      <c r="C33" s="4" t="s">
        <v>312</v>
      </c>
      <c r="D33" s="4">
        <v>4460</v>
      </c>
      <c r="E33" s="4">
        <v>86</v>
      </c>
      <c r="F33" s="4"/>
      <c r="G33" s="4">
        <v>90</v>
      </c>
      <c r="H33" s="4">
        <v>79</v>
      </c>
      <c r="I33" s="4">
        <v>80</v>
      </c>
      <c r="J33" s="4">
        <v>83</v>
      </c>
      <c r="K33" s="4">
        <v>90</v>
      </c>
      <c r="L33" s="4">
        <v>79</v>
      </c>
      <c r="M33" s="16">
        <v>85</v>
      </c>
      <c r="N33" s="4">
        <v>87</v>
      </c>
      <c r="O33" s="4">
        <v>80</v>
      </c>
      <c r="P33" s="4">
        <v>82</v>
      </c>
      <c r="Q33" s="4">
        <v>80</v>
      </c>
      <c r="R33" s="4">
        <v>80</v>
      </c>
      <c r="S33" s="5">
        <f t="shared" si="0"/>
        <v>83.15384615384616</v>
      </c>
      <c r="T33" s="4">
        <v>2</v>
      </c>
      <c r="U33" s="4">
        <v>0</v>
      </c>
      <c r="V33" s="4">
        <v>2</v>
      </c>
      <c r="W33" s="17" t="s">
        <v>537</v>
      </c>
      <c r="X33" s="4" t="s">
        <v>38</v>
      </c>
      <c r="Y33" s="4"/>
      <c r="Z33" s="4"/>
      <c r="AA33" s="4"/>
      <c r="AB33" s="4"/>
      <c r="AC33" s="4"/>
      <c r="AD33" s="11"/>
      <c r="AE33" s="20" t="s">
        <v>545</v>
      </c>
      <c r="AG33" s="18"/>
    </row>
    <row r="34" spans="1:33" x14ac:dyDescent="0.35">
      <c r="A34" s="4">
        <v>27</v>
      </c>
      <c r="B34" s="4" t="s">
        <v>278</v>
      </c>
      <c r="C34" s="4" t="s">
        <v>313</v>
      </c>
      <c r="D34" s="4">
        <v>4465</v>
      </c>
      <c r="E34" s="4">
        <v>91</v>
      </c>
      <c r="F34" s="4"/>
      <c r="G34" s="4">
        <v>91</v>
      </c>
      <c r="H34" s="4">
        <v>84</v>
      </c>
      <c r="I34" s="4">
        <v>95</v>
      </c>
      <c r="J34" s="4">
        <v>88</v>
      </c>
      <c r="K34" s="4">
        <v>89</v>
      </c>
      <c r="L34" s="4">
        <v>90</v>
      </c>
      <c r="M34" s="16">
        <v>97</v>
      </c>
      <c r="N34" s="4">
        <v>88</v>
      </c>
      <c r="O34" s="4">
        <v>91</v>
      </c>
      <c r="P34" s="4">
        <v>88</v>
      </c>
      <c r="Q34" s="4">
        <v>89</v>
      </c>
      <c r="R34" s="4">
        <v>85</v>
      </c>
      <c r="S34" s="5">
        <f t="shared" si="0"/>
        <v>89.692307692307693</v>
      </c>
      <c r="T34" s="4">
        <v>0</v>
      </c>
      <c r="U34" s="4">
        <v>0</v>
      </c>
      <c r="V34" s="4">
        <v>0</v>
      </c>
      <c r="W34" s="17" t="s">
        <v>538</v>
      </c>
      <c r="X34" s="4" t="s">
        <v>43</v>
      </c>
      <c r="Y34" s="4"/>
      <c r="Z34" s="4"/>
      <c r="AA34" s="4"/>
      <c r="AB34" s="4"/>
      <c r="AC34" s="4"/>
      <c r="AD34" s="11"/>
      <c r="AE34" s="20" t="s">
        <v>543</v>
      </c>
      <c r="AG34" s="18"/>
    </row>
    <row r="35" spans="1:33" x14ac:dyDescent="0.35">
      <c r="A35" s="4">
        <v>28</v>
      </c>
      <c r="B35" s="4" t="s">
        <v>279</v>
      </c>
      <c r="C35" s="4" t="s">
        <v>314</v>
      </c>
      <c r="D35" s="4">
        <v>4476</v>
      </c>
      <c r="E35" s="4">
        <v>83</v>
      </c>
      <c r="F35" s="4"/>
      <c r="G35" s="4">
        <v>88</v>
      </c>
      <c r="H35" s="4">
        <v>77</v>
      </c>
      <c r="I35" s="4">
        <v>83</v>
      </c>
      <c r="J35" s="4">
        <v>83</v>
      </c>
      <c r="K35" s="4">
        <v>89</v>
      </c>
      <c r="L35" s="4">
        <v>79</v>
      </c>
      <c r="M35" s="16">
        <v>87</v>
      </c>
      <c r="N35" s="4">
        <v>87</v>
      </c>
      <c r="O35" s="4">
        <v>80</v>
      </c>
      <c r="P35" s="4">
        <v>81</v>
      </c>
      <c r="Q35" s="4">
        <v>80</v>
      </c>
      <c r="R35" s="4">
        <v>80</v>
      </c>
      <c r="S35" s="5">
        <f t="shared" si="0"/>
        <v>82.84615384615384</v>
      </c>
      <c r="T35" s="4">
        <v>1</v>
      </c>
      <c r="U35" s="4">
        <v>0</v>
      </c>
      <c r="V35" s="4">
        <v>2</v>
      </c>
      <c r="W35" s="17" t="s">
        <v>537</v>
      </c>
      <c r="X35" s="4" t="s">
        <v>38</v>
      </c>
      <c r="Y35" s="4"/>
      <c r="Z35" s="4"/>
      <c r="AA35" s="4"/>
      <c r="AB35" s="4"/>
      <c r="AC35" s="4"/>
      <c r="AD35" s="11"/>
      <c r="AE35" s="20" t="s">
        <v>545</v>
      </c>
      <c r="AG35" s="18"/>
    </row>
    <row r="36" spans="1:33" x14ac:dyDescent="0.35">
      <c r="A36" s="4">
        <v>29</v>
      </c>
      <c r="B36" s="4" t="s">
        <v>280</v>
      </c>
      <c r="C36" s="4" t="s">
        <v>315</v>
      </c>
      <c r="D36" s="4">
        <v>4482</v>
      </c>
      <c r="E36" s="4">
        <v>90</v>
      </c>
      <c r="F36" s="4"/>
      <c r="G36" s="4">
        <v>90</v>
      </c>
      <c r="H36" s="4">
        <v>89</v>
      </c>
      <c r="I36" s="4">
        <v>89</v>
      </c>
      <c r="J36" s="4">
        <v>85</v>
      </c>
      <c r="K36" s="4">
        <v>90</v>
      </c>
      <c r="L36" s="4">
        <v>86</v>
      </c>
      <c r="M36" s="16">
        <v>90</v>
      </c>
      <c r="N36" s="4">
        <v>90</v>
      </c>
      <c r="O36" s="4">
        <v>87</v>
      </c>
      <c r="P36" s="4">
        <v>86</v>
      </c>
      <c r="Q36" s="4">
        <v>86</v>
      </c>
      <c r="R36" s="4">
        <v>90</v>
      </c>
      <c r="S36" s="5">
        <f t="shared" si="0"/>
        <v>88.307692307692307</v>
      </c>
      <c r="T36" s="4">
        <v>0</v>
      </c>
      <c r="U36" s="4">
        <v>2</v>
      </c>
      <c r="V36" s="4">
        <v>0</v>
      </c>
      <c r="W36" s="17" t="s">
        <v>538</v>
      </c>
      <c r="X36" s="4" t="s">
        <v>38</v>
      </c>
      <c r="Y36" s="4"/>
      <c r="Z36" s="4" t="s">
        <v>43</v>
      </c>
      <c r="AA36" s="4" t="s">
        <v>43</v>
      </c>
      <c r="AB36" s="4"/>
      <c r="AC36" s="4"/>
      <c r="AD36" s="11"/>
      <c r="AE36" s="20" t="s">
        <v>543</v>
      </c>
      <c r="AG36" s="18"/>
    </row>
    <row r="37" spans="1:33" x14ac:dyDescent="0.35">
      <c r="A37" s="4">
        <v>30</v>
      </c>
      <c r="B37" s="4" t="s">
        <v>281</v>
      </c>
      <c r="C37" s="4" t="s">
        <v>316</v>
      </c>
      <c r="D37" s="4">
        <v>4497</v>
      </c>
      <c r="E37" s="4">
        <v>84</v>
      </c>
      <c r="F37" s="4"/>
      <c r="G37" s="4">
        <v>88</v>
      </c>
      <c r="H37" s="4">
        <v>78</v>
      </c>
      <c r="I37" s="4">
        <v>78</v>
      </c>
      <c r="J37" s="4">
        <v>81</v>
      </c>
      <c r="K37" s="4">
        <v>89</v>
      </c>
      <c r="L37" s="4">
        <v>79</v>
      </c>
      <c r="M37" s="16">
        <v>86</v>
      </c>
      <c r="N37" s="4">
        <v>82</v>
      </c>
      <c r="O37" s="4">
        <v>80</v>
      </c>
      <c r="P37" s="4">
        <v>81</v>
      </c>
      <c r="Q37" s="4">
        <v>81</v>
      </c>
      <c r="R37" s="4">
        <v>78</v>
      </c>
      <c r="S37" s="5">
        <f t="shared" si="0"/>
        <v>81.92307692307692</v>
      </c>
      <c r="T37" s="4">
        <v>1</v>
      </c>
      <c r="U37" s="4">
        <v>0</v>
      </c>
      <c r="V37" s="4">
        <v>2</v>
      </c>
      <c r="W37" s="17" t="s">
        <v>537</v>
      </c>
      <c r="X37" s="4" t="s">
        <v>38</v>
      </c>
      <c r="Y37" s="4"/>
      <c r="Z37" s="4"/>
      <c r="AA37" s="4"/>
      <c r="AB37" s="4"/>
      <c r="AC37" s="4"/>
      <c r="AD37" s="11"/>
      <c r="AE37" s="20" t="s">
        <v>545</v>
      </c>
      <c r="AG37" s="18"/>
    </row>
    <row r="38" spans="1:33" x14ac:dyDescent="0.35">
      <c r="A38" s="4">
        <v>31</v>
      </c>
      <c r="B38" s="4" t="s">
        <v>282</v>
      </c>
      <c r="C38" s="4" t="s">
        <v>317</v>
      </c>
      <c r="D38" s="4">
        <v>4506</v>
      </c>
      <c r="E38" s="4">
        <v>85</v>
      </c>
      <c r="F38" s="4"/>
      <c r="G38" s="4">
        <v>90</v>
      </c>
      <c r="H38" s="4">
        <v>79</v>
      </c>
      <c r="I38" s="4">
        <v>76</v>
      </c>
      <c r="J38" s="4">
        <v>81</v>
      </c>
      <c r="K38" s="4">
        <v>88</v>
      </c>
      <c r="L38" s="4">
        <v>79</v>
      </c>
      <c r="M38" s="16">
        <v>87</v>
      </c>
      <c r="N38" s="4">
        <v>87</v>
      </c>
      <c r="O38" s="4">
        <v>80</v>
      </c>
      <c r="P38" s="4">
        <v>81</v>
      </c>
      <c r="Q38" s="4">
        <v>82</v>
      </c>
      <c r="R38" s="4">
        <v>90</v>
      </c>
      <c r="S38" s="5">
        <f t="shared" si="0"/>
        <v>83.461538461538467</v>
      </c>
      <c r="T38" s="4">
        <v>2</v>
      </c>
      <c r="U38" s="4">
        <v>0</v>
      </c>
      <c r="V38" s="4">
        <v>3</v>
      </c>
      <c r="W38" s="17" t="s">
        <v>537</v>
      </c>
      <c r="X38" s="4" t="s">
        <v>38</v>
      </c>
      <c r="Y38" s="4"/>
      <c r="Z38" s="4"/>
      <c r="AA38" s="4"/>
      <c r="AB38" s="4"/>
      <c r="AC38" s="4"/>
      <c r="AD38" s="11"/>
      <c r="AE38" s="20" t="s">
        <v>545</v>
      </c>
      <c r="AG38" s="18"/>
    </row>
    <row r="39" spans="1:33" x14ac:dyDescent="0.35">
      <c r="A39" s="4">
        <v>32</v>
      </c>
      <c r="B39" s="4" t="s">
        <v>283</v>
      </c>
      <c r="C39" s="4" t="s">
        <v>318</v>
      </c>
      <c r="D39" s="4">
        <v>4511</v>
      </c>
      <c r="E39" s="4">
        <v>89</v>
      </c>
      <c r="F39" s="4"/>
      <c r="G39" s="4">
        <v>88</v>
      </c>
      <c r="H39" s="4">
        <v>84</v>
      </c>
      <c r="I39" s="4">
        <v>85</v>
      </c>
      <c r="J39" s="4">
        <v>83</v>
      </c>
      <c r="K39" s="4">
        <v>89</v>
      </c>
      <c r="L39" s="4">
        <v>82</v>
      </c>
      <c r="M39" s="16">
        <v>87</v>
      </c>
      <c r="N39" s="4">
        <v>84</v>
      </c>
      <c r="O39" s="4">
        <v>82</v>
      </c>
      <c r="P39" s="4">
        <v>82</v>
      </c>
      <c r="Q39" s="4">
        <v>82</v>
      </c>
      <c r="R39" s="4">
        <v>78</v>
      </c>
      <c r="S39" s="5">
        <f t="shared" si="0"/>
        <v>84.230769230769226</v>
      </c>
      <c r="T39" s="4">
        <v>2</v>
      </c>
      <c r="U39" s="4">
        <v>0</v>
      </c>
      <c r="V39" s="4">
        <v>1</v>
      </c>
      <c r="W39" s="17" t="s">
        <v>537</v>
      </c>
      <c r="X39" s="4" t="s">
        <v>38</v>
      </c>
      <c r="Y39" s="4"/>
      <c r="Z39" s="4"/>
      <c r="AA39" s="4"/>
      <c r="AB39" s="4"/>
      <c r="AC39" s="4"/>
      <c r="AD39" s="11"/>
      <c r="AE39" s="20" t="s">
        <v>545</v>
      </c>
      <c r="AG39" s="18"/>
    </row>
    <row r="40" spans="1:33" x14ac:dyDescent="0.35">
      <c r="A40" s="4">
        <v>33</v>
      </c>
      <c r="B40" s="4" t="s">
        <v>284</v>
      </c>
      <c r="C40" s="4" t="s">
        <v>319</v>
      </c>
      <c r="D40" s="4">
        <v>4519</v>
      </c>
      <c r="E40" s="4">
        <v>89</v>
      </c>
      <c r="F40" s="4"/>
      <c r="G40" s="4">
        <v>88</v>
      </c>
      <c r="H40" s="4">
        <v>80</v>
      </c>
      <c r="I40" s="4">
        <v>85</v>
      </c>
      <c r="J40" s="4">
        <v>85</v>
      </c>
      <c r="K40" s="4">
        <v>88</v>
      </c>
      <c r="L40" s="4">
        <v>80</v>
      </c>
      <c r="M40" s="16">
        <v>89</v>
      </c>
      <c r="N40" s="4">
        <v>84</v>
      </c>
      <c r="O40" s="4">
        <v>82</v>
      </c>
      <c r="P40" s="4">
        <v>84</v>
      </c>
      <c r="Q40" s="4">
        <v>81</v>
      </c>
      <c r="R40" s="4">
        <v>75</v>
      </c>
      <c r="S40" s="5">
        <f t="shared" si="0"/>
        <v>83.84615384615384</v>
      </c>
      <c r="T40" s="4">
        <v>5</v>
      </c>
      <c r="U40" s="4">
        <v>0</v>
      </c>
      <c r="V40" s="4">
        <v>0</v>
      </c>
      <c r="W40" s="17" t="s">
        <v>537</v>
      </c>
      <c r="X40" s="4" t="s">
        <v>38</v>
      </c>
      <c r="Y40" s="4"/>
      <c r="Z40" s="4"/>
      <c r="AA40" s="4"/>
      <c r="AB40" s="4"/>
      <c r="AC40" s="4"/>
      <c r="AD40" s="11"/>
      <c r="AE40" s="20" t="s">
        <v>545</v>
      </c>
      <c r="AG40" s="18"/>
    </row>
    <row r="41" spans="1:33" x14ac:dyDescent="0.35">
      <c r="A41" s="4">
        <v>34</v>
      </c>
      <c r="B41" s="4" t="s">
        <v>285</v>
      </c>
      <c r="C41" s="4" t="s">
        <v>320</v>
      </c>
      <c r="D41" s="4">
        <v>4530</v>
      </c>
      <c r="E41" s="4">
        <v>88</v>
      </c>
      <c r="F41" s="4"/>
      <c r="G41" s="4">
        <v>90</v>
      </c>
      <c r="H41" s="4">
        <v>80</v>
      </c>
      <c r="I41" s="4">
        <v>82</v>
      </c>
      <c r="J41" s="4">
        <v>83</v>
      </c>
      <c r="K41" s="4">
        <v>89</v>
      </c>
      <c r="L41" s="4">
        <v>81</v>
      </c>
      <c r="M41" s="16">
        <v>88</v>
      </c>
      <c r="N41" s="4">
        <v>85</v>
      </c>
      <c r="O41" s="4">
        <v>80</v>
      </c>
      <c r="P41" s="4">
        <v>84</v>
      </c>
      <c r="Q41" s="4">
        <v>82</v>
      </c>
      <c r="R41" s="4">
        <v>80</v>
      </c>
      <c r="S41" s="5">
        <f t="shared" si="0"/>
        <v>84</v>
      </c>
      <c r="T41" s="4">
        <v>2</v>
      </c>
      <c r="U41" s="4">
        <v>0</v>
      </c>
      <c r="V41" s="4">
        <v>3</v>
      </c>
      <c r="W41" s="17" t="s">
        <v>537</v>
      </c>
      <c r="X41" s="4" t="s">
        <v>38</v>
      </c>
      <c r="Y41" s="4"/>
      <c r="Z41" s="4"/>
      <c r="AA41" s="4"/>
      <c r="AB41" s="4"/>
      <c r="AC41" s="4"/>
      <c r="AD41" s="11"/>
      <c r="AE41" s="20" t="s">
        <v>545</v>
      </c>
      <c r="AG41" s="18"/>
    </row>
    <row r="42" spans="1:33" x14ac:dyDescent="0.35">
      <c r="A42" s="4">
        <v>35</v>
      </c>
      <c r="B42" s="4" t="s">
        <v>286</v>
      </c>
      <c r="C42" s="4" t="s">
        <v>321</v>
      </c>
      <c r="D42" s="4">
        <v>4546</v>
      </c>
      <c r="E42" s="4">
        <v>90</v>
      </c>
      <c r="F42" s="4"/>
      <c r="G42" s="4">
        <v>90</v>
      </c>
      <c r="H42" s="4">
        <v>83</v>
      </c>
      <c r="I42" s="4">
        <v>89</v>
      </c>
      <c r="J42" s="4">
        <v>88</v>
      </c>
      <c r="K42" s="4">
        <v>89</v>
      </c>
      <c r="L42" s="4">
        <v>87</v>
      </c>
      <c r="M42" s="17">
        <v>88</v>
      </c>
      <c r="N42" s="4">
        <v>88</v>
      </c>
      <c r="O42" s="4">
        <v>87</v>
      </c>
      <c r="P42" s="4">
        <v>86</v>
      </c>
      <c r="Q42" s="4">
        <v>86</v>
      </c>
      <c r="R42" s="4">
        <v>88</v>
      </c>
      <c r="S42" s="5">
        <f t="shared" si="0"/>
        <v>87.615384615384613</v>
      </c>
      <c r="T42" s="4">
        <v>0</v>
      </c>
      <c r="U42" s="4">
        <v>0</v>
      </c>
      <c r="V42" s="4">
        <v>0</v>
      </c>
      <c r="W42" s="17" t="s">
        <v>538</v>
      </c>
      <c r="X42" s="4" t="s">
        <v>38</v>
      </c>
      <c r="Y42" s="4"/>
      <c r="Z42" s="4"/>
      <c r="AA42" s="4"/>
      <c r="AB42" s="4"/>
      <c r="AC42" s="4"/>
      <c r="AD42" s="11"/>
      <c r="AE42" s="20" t="s">
        <v>545</v>
      </c>
      <c r="AG42" s="18"/>
    </row>
    <row r="43" spans="1:33" x14ac:dyDescent="0.35">
      <c r="AE43" s="12"/>
    </row>
  </sheetData>
  <mergeCells count="31">
    <mergeCell ref="I5:I7"/>
    <mergeCell ref="AB5:AB7"/>
    <mergeCell ref="AC5:AC7"/>
    <mergeCell ref="AD5:AD7"/>
    <mergeCell ref="R5:R7"/>
    <mergeCell ref="X5:X7"/>
    <mergeCell ref="Y5:Y7"/>
    <mergeCell ref="Z5:Z7"/>
    <mergeCell ref="AA5:AA7"/>
    <mergeCell ref="T4:V6"/>
    <mergeCell ref="X4:AD4"/>
    <mergeCell ref="S4:S7"/>
    <mergeCell ref="M5:M7"/>
    <mergeCell ref="O5:O7"/>
    <mergeCell ref="W4:W7"/>
    <mergeCell ref="AE4:AE7"/>
    <mergeCell ref="J5:J7"/>
    <mergeCell ref="K5:K7"/>
    <mergeCell ref="A4:A7"/>
    <mergeCell ref="B4:B7"/>
    <mergeCell ref="C4:C7"/>
    <mergeCell ref="D4:D7"/>
    <mergeCell ref="E4:R4"/>
    <mergeCell ref="L5:L7"/>
    <mergeCell ref="N5:N7"/>
    <mergeCell ref="P5:P7"/>
    <mergeCell ref="Q5:Q7"/>
    <mergeCell ref="E5:E7"/>
    <mergeCell ref="F5:F7"/>
    <mergeCell ref="G5:G7"/>
    <mergeCell ref="H5:H7"/>
  </mergeCells>
  <conditionalFormatting sqref="M8:M41">
    <cfRule type="cellIs" dxfId="7" priority="1" operator="greaterThan">
      <formula>100</formula>
    </cfRule>
    <cfRule type="cellIs" dxfId="6" priority="2" operator="lessThan">
      <formula>78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4CF9-3495-4E45-8E25-6A25FB6B2AA5}">
  <dimension ref="A1:AF41"/>
  <sheetViews>
    <sheetView zoomScale="57" workbookViewId="0">
      <selection activeCell="AI21" sqref="AI21"/>
    </sheetView>
  </sheetViews>
  <sheetFormatPr defaultRowHeight="14.5" x14ac:dyDescent="0.35"/>
  <cols>
    <col min="1" max="1" width="4" customWidth="1"/>
    <col min="2" max="2" width="25.1796875" bestFit="1" customWidth="1"/>
    <col min="3" max="3" width="11.1796875" customWidth="1"/>
    <col min="4" max="4" width="7.90625" customWidth="1"/>
    <col min="5" max="18" width="5" customWidth="1"/>
    <col min="19" max="19" width="9.08984375" customWidth="1"/>
    <col min="20" max="22" width="5" customWidth="1"/>
    <col min="23" max="23" width="13.36328125" customWidth="1"/>
    <col min="24" max="29" width="5" customWidth="1"/>
    <col min="30" max="30" width="13.08984375" customWidth="1"/>
  </cols>
  <sheetData>
    <row r="1" spans="1:32" ht="18.5" x14ac:dyDescent="0.4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32" x14ac:dyDescent="0.35">
      <c r="A2" s="7" t="s">
        <v>1</v>
      </c>
      <c r="B2" s="7"/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32" x14ac:dyDescent="0.35">
      <c r="A3" s="7" t="s">
        <v>3</v>
      </c>
      <c r="B3" s="7"/>
      <c r="C3" s="2" t="s">
        <v>534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32" ht="14.5" customHeight="1" x14ac:dyDescent="0.35">
      <c r="A4" s="44" t="s">
        <v>4</v>
      </c>
      <c r="B4" s="44" t="s">
        <v>5</v>
      </c>
      <c r="C4" s="44" t="s">
        <v>6</v>
      </c>
      <c r="D4" s="44" t="s">
        <v>7</v>
      </c>
      <c r="E4" s="44" t="s">
        <v>8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5" t="s">
        <v>106</v>
      </c>
      <c r="T4" s="44" t="s">
        <v>9</v>
      </c>
      <c r="U4" s="44"/>
      <c r="V4" s="44"/>
      <c r="W4" s="45" t="s">
        <v>522</v>
      </c>
      <c r="X4" s="44" t="s">
        <v>10</v>
      </c>
      <c r="Y4" s="44"/>
      <c r="Z4" s="44"/>
      <c r="AA4" s="44"/>
      <c r="AB4" s="44"/>
      <c r="AC4" s="44"/>
      <c r="AD4" s="25" t="s">
        <v>540</v>
      </c>
    </row>
    <row r="5" spans="1:32" ht="14.5" customHeight="1" x14ac:dyDescent="0.35">
      <c r="A5" s="44"/>
      <c r="B5" s="44"/>
      <c r="C5" s="44"/>
      <c r="D5" s="44"/>
      <c r="E5" s="44" t="s">
        <v>11</v>
      </c>
      <c r="F5" s="44" t="s">
        <v>107</v>
      </c>
      <c r="G5" s="44" t="s">
        <v>12</v>
      </c>
      <c r="H5" s="44" t="s">
        <v>13</v>
      </c>
      <c r="I5" s="44" t="s">
        <v>14</v>
      </c>
      <c r="J5" s="44" t="s">
        <v>15</v>
      </c>
      <c r="K5" s="44" t="s">
        <v>16</v>
      </c>
      <c r="L5" s="24" t="s">
        <v>523</v>
      </c>
      <c r="M5" s="24" t="s">
        <v>524</v>
      </c>
      <c r="N5" s="44" t="s">
        <v>18</v>
      </c>
      <c r="O5" s="24" t="s">
        <v>528</v>
      </c>
      <c r="P5" s="44" t="s">
        <v>19</v>
      </c>
      <c r="Q5" s="44" t="s">
        <v>20</v>
      </c>
      <c r="R5" s="24" t="s">
        <v>387</v>
      </c>
      <c r="S5" s="43"/>
      <c r="T5" s="44"/>
      <c r="U5" s="44"/>
      <c r="V5" s="44"/>
      <c r="W5" s="43"/>
      <c r="X5" s="44" t="s">
        <v>22</v>
      </c>
      <c r="Y5" s="44" t="s">
        <v>23</v>
      </c>
      <c r="Z5" s="44" t="s">
        <v>26</v>
      </c>
      <c r="AA5" s="44" t="s">
        <v>27</v>
      </c>
      <c r="AB5" s="44" t="s">
        <v>178</v>
      </c>
      <c r="AC5" s="44" t="s">
        <v>30</v>
      </c>
      <c r="AD5" s="43"/>
    </row>
    <row r="6" spans="1:32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3"/>
      <c r="T6" s="44"/>
      <c r="U6" s="44"/>
      <c r="V6" s="44"/>
      <c r="W6" s="43"/>
      <c r="X6" s="44"/>
      <c r="Y6" s="44"/>
      <c r="Z6" s="44"/>
      <c r="AA6" s="44"/>
      <c r="AB6" s="44"/>
      <c r="AC6" s="44"/>
      <c r="AD6" s="43"/>
    </row>
    <row r="7" spans="1:32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6"/>
      <c r="T7" s="9" t="s">
        <v>33</v>
      </c>
      <c r="U7" s="9" t="s">
        <v>34</v>
      </c>
      <c r="V7" s="9" t="s">
        <v>35</v>
      </c>
      <c r="W7" s="43"/>
      <c r="X7" s="44"/>
      <c r="Y7" s="44"/>
      <c r="Z7" s="44"/>
      <c r="AA7" s="44"/>
      <c r="AB7" s="44"/>
      <c r="AC7" s="44"/>
      <c r="AD7" s="43"/>
    </row>
    <row r="8" spans="1:32" x14ac:dyDescent="0.35">
      <c r="A8" s="4">
        <v>1</v>
      </c>
      <c r="B8" s="4" t="s">
        <v>322</v>
      </c>
      <c r="C8" s="4" t="s">
        <v>323</v>
      </c>
      <c r="D8" s="4">
        <v>4310</v>
      </c>
      <c r="E8" s="4">
        <v>82</v>
      </c>
      <c r="F8" s="4"/>
      <c r="G8" s="4">
        <v>85</v>
      </c>
      <c r="H8" s="4">
        <v>86</v>
      </c>
      <c r="I8" s="4">
        <v>75</v>
      </c>
      <c r="J8" s="4">
        <v>80</v>
      </c>
      <c r="K8" s="4">
        <v>88</v>
      </c>
      <c r="L8" s="4">
        <v>80</v>
      </c>
      <c r="M8" s="16">
        <v>87</v>
      </c>
      <c r="N8" s="4">
        <v>85</v>
      </c>
      <c r="O8" s="4">
        <v>84</v>
      </c>
      <c r="P8" s="4">
        <v>81</v>
      </c>
      <c r="Q8" s="4">
        <v>79</v>
      </c>
      <c r="R8" s="4">
        <v>78</v>
      </c>
      <c r="S8" s="5">
        <f t="shared" ref="S8:S40" si="0">AVERAGE(E8:R8)</f>
        <v>82.307692307692307</v>
      </c>
      <c r="T8" s="4">
        <v>3</v>
      </c>
      <c r="U8" s="4">
        <v>0</v>
      </c>
      <c r="V8" s="4">
        <v>7</v>
      </c>
      <c r="W8" s="21" t="s">
        <v>537</v>
      </c>
      <c r="X8" s="4" t="s">
        <v>38</v>
      </c>
      <c r="Y8" s="4"/>
      <c r="Z8" s="4"/>
      <c r="AA8" s="4"/>
      <c r="AB8" s="4" t="s">
        <v>38</v>
      </c>
      <c r="AC8" s="11"/>
      <c r="AD8" s="20" t="s">
        <v>543</v>
      </c>
      <c r="AF8" s="18"/>
    </row>
    <row r="9" spans="1:32" x14ac:dyDescent="0.35">
      <c r="A9" s="4">
        <v>2</v>
      </c>
      <c r="B9" s="4" t="s">
        <v>324</v>
      </c>
      <c r="C9" s="4" t="s">
        <v>325</v>
      </c>
      <c r="D9" s="4">
        <v>4313</v>
      </c>
      <c r="E9" s="4">
        <v>84</v>
      </c>
      <c r="F9" s="4"/>
      <c r="G9" s="4">
        <v>88</v>
      </c>
      <c r="H9" s="4">
        <v>87</v>
      </c>
      <c r="I9" s="4">
        <v>84</v>
      </c>
      <c r="J9" s="4">
        <v>80</v>
      </c>
      <c r="K9" s="4">
        <v>87</v>
      </c>
      <c r="L9" s="4">
        <v>80</v>
      </c>
      <c r="M9" s="16">
        <v>87</v>
      </c>
      <c r="N9" s="4">
        <v>85</v>
      </c>
      <c r="O9" s="4">
        <v>80</v>
      </c>
      <c r="P9" s="4">
        <v>81</v>
      </c>
      <c r="Q9" s="4">
        <v>84</v>
      </c>
      <c r="R9" s="4">
        <v>90</v>
      </c>
      <c r="S9" s="5">
        <f t="shared" si="0"/>
        <v>84.384615384615387</v>
      </c>
      <c r="T9" s="4">
        <v>4</v>
      </c>
      <c r="U9" s="4">
        <v>0</v>
      </c>
      <c r="V9" s="4">
        <v>2</v>
      </c>
      <c r="W9" s="21" t="s">
        <v>537</v>
      </c>
      <c r="X9" s="4" t="s">
        <v>38</v>
      </c>
      <c r="Y9" s="4"/>
      <c r="Z9" s="4"/>
      <c r="AA9" s="4"/>
      <c r="AB9" s="4"/>
      <c r="AC9" s="11"/>
      <c r="AD9" s="20" t="s">
        <v>545</v>
      </c>
      <c r="AF9" s="18"/>
    </row>
    <row r="10" spans="1:32" x14ac:dyDescent="0.35">
      <c r="A10" s="4">
        <v>3</v>
      </c>
      <c r="B10" s="4" t="s">
        <v>326</v>
      </c>
      <c r="C10" s="4" t="s">
        <v>327</v>
      </c>
      <c r="D10" s="4">
        <v>4329</v>
      </c>
      <c r="E10" s="4">
        <v>87</v>
      </c>
      <c r="F10" s="4"/>
      <c r="G10" s="4">
        <v>89</v>
      </c>
      <c r="H10" s="4">
        <v>88</v>
      </c>
      <c r="I10" s="4">
        <v>88</v>
      </c>
      <c r="J10" s="4">
        <v>84</v>
      </c>
      <c r="K10" s="4">
        <v>87</v>
      </c>
      <c r="L10" s="4">
        <v>88</v>
      </c>
      <c r="M10" s="16">
        <v>85</v>
      </c>
      <c r="N10" s="4">
        <v>86</v>
      </c>
      <c r="O10" s="4">
        <v>87</v>
      </c>
      <c r="P10" s="4">
        <v>81</v>
      </c>
      <c r="Q10" s="4">
        <v>82</v>
      </c>
      <c r="R10" s="4">
        <v>96</v>
      </c>
      <c r="S10" s="5">
        <f t="shared" si="0"/>
        <v>86.769230769230774</v>
      </c>
      <c r="T10" s="4">
        <v>1</v>
      </c>
      <c r="U10" s="4">
        <v>0</v>
      </c>
      <c r="V10" s="4">
        <v>4</v>
      </c>
      <c r="W10" s="21" t="s">
        <v>537</v>
      </c>
      <c r="X10" s="4" t="s">
        <v>38</v>
      </c>
      <c r="Y10" s="4"/>
      <c r="Z10" s="4"/>
      <c r="AA10" s="4"/>
      <c r="AB10" s="4"/>
      <c r="AC10" s="11"/>
      <c r="AD10" s="19" t="s">
        <v>545</v>
      </c>
      <c r="AF10" s="18"/>
    </row>
    <row r="11" spans="1:32" x14ac:dyDescent="0.35">
      <c r="A11" s="4">
        <v>4</v>
      </c>
      <c r="B11" s="4" t="s">
        <v>255</v>
      </c>
      <c r="C11" s="4" t="s">
        <v>328</v>
      </c>
      <c r="D11" s="4">
        <v>4332</v>
      </c>
      <c r="E11" s="4">
        <v>93</v>
      </c>
      <c r="F11" s="4"/>
      <c r="G11" s="4">
        <v>91</v>
      </c>
      <c r="H11" s="4">
        <v>94</v>
      </c>
      <c r="I11" s="4">
        <v>93</v>
      </c>
      <c r="J11" s="4">
        <v>90</v>
      </c>
      <c r="K11" s="4">
        <v>88</v>
      </c>
      <c r="L11" s="4">
        <v>90</v>
      </c>
      <c r="M11" s="16">
        <v>95</v>
      </c>
      <c r="N11" s="4">
        <v>90</v>
      </c>
      <c r="O11" s="4">
        <v>90</v>
      </c>
      <c r="P11" s="4">
        <v>90</v>
      </c>
      <c r="Q11" s="4">
        <v>89</v>
      </c>
      <c r="R11" s="4">
        <v>95</v>
      </c>
      <c r="S11" s="5">
        <f t="shared" si="0"/>
        <v>91.384615384615387</v>
      </c>
      <c r="T11" s="4">
        <v>1</v>
      </c>
      <c r="U11" s="4">
        <v>0</v>
      </c>
      <c r="V11" s="4">
        <v>0</v>
      </c>
      <c r="W11" s="21" t="s">
        <v>538</v>
      </c>
      <c r="X11" s="4" t="s">
        <v>38</v>
      </c>
      <c r="Y11" s="4" t="s">
        <v>43</v>
      </c>
      <c r="Z11" s="4" t="s">
        <v>43</v>
      </c>
      <c r="AA11" s="4" t="s">
        <v>43</v>
      </c>
      <c r="AB11" s="4"/>
      <c r="AC11" s="11" t="s">
        <v>43</v>
      </c>
      <c r="AD11" s="20" t="s">
        <v>542</v>
      </c>
      <c r="AF11" s="18"/>
    </row>
    <row r="12" spans="1:32" x14ac:dyDescent="0.35">
      <c r="A12" s="4">
        <v>5</v>
      </c>
      <c r="B12" s="4" t="s">
        <v>329</v>
      </c>
      <c r="C12" s="4" t="s">
        <v>330</v>
      </c>
      <c r="D12" s="4">
        <v>4342</v>
      </c>
      <c r="E12" s="4">
        <v>85</v>
      </c>
      <c r="F12" s="4"/>
      <c r="G12" s="4">
        <v>90</v>
      </c>
      <c r="H12" s="4">
        <v>88</v>
      </c>
      <c r="I12" s="4">
        <v>77</v>
      </c>
      <c r="J12" s="4">
        <v>85</v>
      </c>
      <c r="K12" s="4">
        <v>88</v>
      </c>
      <c r="L12" s="4">
        <v>80</v>
      </c>
      <c r="M12" s="16">
        <v>84</v>
      </c>
      <c r="N12" s="4">
        <v>86</v>
      </c>
      <c r="O12" s="4">
        <v>86</v>
      </c>
      <c r="P12" s="4">
        <v>83</v>
      </c>
      <c r="Q12" s="4">
        <v>81</v>
      </c>
      <c r="R12" s="4">
        <v>92</v>
      </c>
      <c r="S12" s="5">
        <f t="shared" si="0"/>
        <v>85</v>
      </c>
      <c r="T12" s="4">
        <v>1</v>
      </c>
      <c r="U12" s="4">
        <v>0</v>
      </c>
      <c r="V12" s="4">
        <v>2</v>
      </c>
      <c r="W12" s="21" t="s">
        <v>537</v>
      </c>
      <c r="X12" s="4" t="s">
        <v>38</v>
      </c>
      <c r="Y12" s="4"/>
      <c r="Z12" s="4"/>
      <c r="AA12" s="4"/>
      <c r="AB12" s="4" t="s">
        <v>38</v>
      </c>
      <c r="AC12" s="11"/>
      <c r="AD12" s="20" t="s">
        <v>543</v>
      </c>
      <c r="AF12" s="18"/>
    </row>
    <row r="13" spans="1:32" x14ac:dyDescent="0.35">
      <c r="A13" s="4">
        <v>6</v>
      </c>
      <c r="B13" s="4" t="s">
        <v>331</v>
      </c>
      <c r="C13" s="4" t="s">
        <v>332</v>
      </c>
      <c r="D13" s="4">
        <v>4362</v>
      </c>
      <c r="E13" s="4">
        <v>86</v>
      </c>
      <c r="F13" s="4"/>
      <c r="G13" s="4">
        <v>90</v>
      </c>
      <c r="H13" s="4">
        <v>88</v>
      </c>
      <c r="I13" s="4">
        <v>81</v>
      </c>
      <c r="J13" s="4">
        <v>82</v>
      </c>
      <c r="K13" s="4">
        <v>88</v>
      </c>
      <c r="L13" s="4">
        <v>80</v>
      </c>
      <c r="M13" s="16">
        <v>86</v>
      </c>
      <c r="N13" s="4">
        <v>87</v>
      </c>
      <c r="O13" s="4">
        <v>86</v>
      </c>
      <c r="P13" s="4">
        <v>83</v>
      </c>
      <c r="Q13" s="4">
        <v>81</v>
      </c>
      <c r="R13" s="4">
        <v>92</v>
      </c>
      <c r="S13" s="5">
        <f t="shared" si="0"/>
        <v>85.384615384615387</v>
      </c>
      <c r="T13" s="4">
        <v>1</v>
      </c>
      <c r="U13" s="4">
        <v>0</v>
      </c>
      <c r="V13" s="4">
        <v>1</v>
      </c>
      <c r="W13" s="21" t="s">
        <v>537</v>
      </c>
      <c r="X13" s="4" t="s">
        <v>43</v>
      </c>
      <c r="Y13" s="4"/>
      <c r="Z13" s="4"/>
      <c r="AA13" s="4"/>
      <c r="AB13" s="4"/>
      <c r="AC13" s="11"/>
      <c r="AD13" s="19" t="s">
        <v>545</v>
      </c>
      <c r="AF13" s="18"/>
    </row>
    <row r="14" spans="1:32" x14ac:dyDescent="0.35">
      <c r="A14" s="4">
        <v>7</v>
      </c>
      <c r="B14" s="4" t="s">
        <v>333</v>
      </c>
      <c r="C14" s="4" t="s">
        <v>334</v>
      </c>
      <c r="D14" s="4">
        <v>4365</v>
      </c>
      <c r="E14" s="4">
        <v>86</v>
      </c>
      <c r="F14" s="4"/>
      <c r="G14" s="4">
        <v>90</v>
      </c>
      <c r="H14" s="4">
        <v>87</v>
      </c>
      <c r="I14" s="4">
        <v>79</v>
      </c>
      <c r="J14" s="4">
        <v>80</v>
      </c>
      <c r="K14" s="4">
        <v>87</v>
      </c>
      <c r="L14" s="4">
        <v>88</v>
      </c>
      <c r="M14" s="16">
        <v>96</v>
      </c>
      <c r="N14" s="4">
        <v>88</v>
      </c>
      <c r="O14" s="4">
        <v>84</v>
      </c>
      <c r="P14" s="4">
        <v>83</v>
      </c>
      <c r="Q14" s="4">
        <v>82</v>
      </c>
      <c r="R14" s="4">
        <v>96</v>
      </c>
      <c r="S14" s="5">
        <f t="shared" si="0"/>
        <v>86.615384615384613</v>
      </c>
      <c r="T14" s="4">
        <v>1</v>
      </c>
      <c r="U14" s="4">
        <v>1</v>
      </c>
      <c r="V14" s="4">
        <v>2</v>
      </c>
      <c r="W14" s="21" t="s">
        <v>537</v>
      </c>
      <c r="X14" s="4" t="s">
        <v>43</v>
      </c>
      <c r="Y14" s="4"/>
      <c r="Z14" s="4"/>
      <c r="AA14" s="4"/>
      <c r="AB14" s="4"/>
      <c r="AC14" s="11"/>
      <c r="AD14" s="19" t="s">
        <v>545</v>
      </c>
      <c r="AF14" s="18"/>
    </row>
    <row r="15" spans="1:32" x14ac:dyDescent="0.35">
      <c r="A15" s="4">
        <v>8</v>
      </c>
      <c r="B15" s="4" t="s">
        <v>335</v>
      </c>
      <c r="C15" s="4" t="s">
        <v>336</v>
      </c>
      <c r="D15" s="4">
        <v>4377</v>
      </c>
      <c r="E15" s="4">
        <v>87</v>
      </c>
      <c r="F15" s="4"/>
      <c r="G15" s="4">
        <v>85</v>
      </c>
      <c r="H15" s="4">
        <v>85</v>
      </c>
      <c r="I15" s="4">
        <v>73</v>
      </c>
      <c r="J15" s="4">
        <v>80</v>
      </c>
      <c r="K15" s="4">
        <v>88</v>
      </c>
      <c r="L15" s="4">
        <v>79</v>
      </c>
      <c r="M15" s="16">
        <v>85</v>
      </c>
      <c r="N15" s="4">
        <v>85</v>
      </c>
      <c r="O15" s="4">
        <v>80</v>
      </c>
      <c r="P15" s="4">
        <v>80</v>
      </c>
      <c r="Q15" s="4">
        <v>80</v>
      </c>
      <c r="R15" s="4">
        <v>78</v>
      </c>
      <c r="S15" s="5">
        <f t="shared" si="0"/>
        <v>81.92307692307692</v>
      </c>
      <c r="T15" s="4">
        <v>2</v>
      </c>
      <c r="U15" s="4">
        <v>0</v>
      </c>
      <c r="V15" s="4">
        <v>7</v>
      </c>
      <c r="W15" s="21" t="s">
        <v>537</v>
      </c>
      <c r="X15" s="4" t="s">
        <v>38</v>
      </c>
      <c r="Y15" s="4"/>
      <c r="Z15" s="4"/>
      <c r="AA15" s="4"/>
      <c r="AB15" s="4"/>
      <c r="AC15" s="11"/>
      <c r="AD15" s="19" t="s">
        <v>545</v>
      </c>
      <c r="AF15" s="18"/>
    </row>
    <row r="16" spans="1:32" x14ac:dyDescent="0.35">
      <c r="A16" s="4">
        <v>9</v>
      </c>
      <c r="B16" s="4" t="s">
        <v>337</v>
      </c>
      <c r="C16" s="4" t="s">
        <v>338</v>
      </c>
      <c r="D16" s="4">
        <v>4389</v>
      </c>
      <c r="E16" s="4">
        <v>84</v>
      </c>
      <c r="F16" s="4"/>
      <c r="G16" s="4">
        <v>80</v>
      </c>
      <c r="H16" s="4">
        <v>87</v>
      </c>
      <c r="I16" s="4">
        <v>75</v>
      </c>
      <c r="J16" s="4">
        <v>82</v>
      </c>
      <c r="K16" s="4">
        <v>87</v>
      </c>
      <c r="L16" s="4">
        <v>78</v>
      </c>
      <c r="M16" s="16">
        <v>84</v>
      </c>
      <c r="N16" s="4">
        <v>85</v>
      </c>
      <c r="O16" s="4">
        <v>84</v>
      </c>
      <c r="P16" s="4">
        <v>83</v>
      </c>
      <c r="Q16" s="4">
        <v>82</v>
      </c>
      <c r="R16" s="4">
        <v>78</v>
      </c>
      <c r="S16" s="5">
        <f t="shared" si="0"/>
        <v>82.230769230769226</v>
      </c>
      <c r="T16" s="4">
        <v>2</v>
      </c>
      <c r="U16" s="4">
        <v>0</v>
      </c>
      <c r="V16" s="4">
        <v>6</v>
      </c>
      <c r="W16" s="21" t="s">
        <v>537</v>
      </c>
      <c r="X16" s="4" t="s">
        <v>38</v>
      </c>
      <c r="Y16" s="4"/>
      <c r="Z16" s="4"/>
      <c r="AA16" s="4"/>
      <c r="AB16" s="4" t="s">
        <v>38</v>
      </c>
      <c r="AC16" s="11"/>
      <c r="AD16" s="20" t="s">
        <v>543</v>
      </c>
      <c r="AF16" s="18"/>
    </row>
    <row r="17" spans="1:32" x14ac:dyDescent="0.35">
      <c r="A17" s="4">
        <v>10</v>
      </c>
      <c r="B17" s="4" t="s">
        <v>339</v>
      </c>
      <c r="C17" s="4" t="s">
        <v>340</v>
      </c>
      <c r="D17" s="4">
        <v>4408</v>
      </c>
      <c r="E17" s="4"/>
      <c r="F17" s="4">
        <v>89</v>
      </c>
      <c r="G17" s="4">
        <v>91</v>
      </c>
      <c r="H17" s="4">
        <v>86</v>
      </c>
      <c r="I17" s="4">
        <v>88</v>
      </c>
      <c r="J17" s="4">
        <v>85</v>
      </c>
      <c r="K17" s="4">
        <v>87</v>
      </c>
      <c r="L17" s="4">
        <v>89</v>
      </c>
      <c r="M17" s="16">
        <v>89</v>
      </c>
      <c r="N17" s="4">
        <v>87</v>
      </c>
      <c r="O17" s="4">
        <v>88</v>
      </c>
      <c r="P17" s="4">
        <v>85</v>
      </c>
      <c r="Q17" s="4">
        <v>85</v>
      </c>
      <c r="R17" s="4">
        <v>96</v>
      </c>
      <c r="S17" s="5">
        <f t="shared" si="0"/>
        <v>88.07692307692308</v>
      </c>
      <c r="T17" s="4">
        <v>1</v>
      </c>
      <c r="U17" s="4">
        <v>5</v>
      </c>
      <c r="V17" s="4">
        <v>1</v>
      </c>
      <c r="W17" s="21" t="s">
        <v>537</v>
      </c>
      <c r="X17" s="4" t="s">
        <v>38</v>
      </c>
      <c r="Y17" s="4"/>
      <c r="Z17" s="4"/>
      <c r="AA17" s="4"/>
      <c r="AB17" s="4"/>
      <c r="AC17" s="11"/>
      <c r="AD17" s="19" t="s">
        <v>545</v>
      </c>
      <c r="AF17" s="18"/>
    </row>
    <row r="18" spans="1:32" x14ac:dyDescent="0.35">
      <c r="A18" s="4">
        <v>11</v>
      </c>
      <c r="B18" s="4" t="s">
        <v>341</v>
      </c>
      <c r="C18" s="4" t="s">
        <v>342</v>
      </c>
      <c r="D18" s="4">
        <v>4409</v>
      </c>
      <c r="E18" s="4">
        <v>83</v>
      </c>
      <c r="F18" s="4"/>
      <c r="G18" s="4">
        <v>91</v>
      </c>
      <c r="H18" s="4">
        <v>89</v>
      </c>
      <c r="I18" s="4">
        <v>84</v>
      </c>
      <c r="J18" s="4">
        <v>84</v>
      </c>
      <c r="K18" s="4">
        <v>88</v>
      </c>
      <c r="L18" s="4">
        <v>89</v>
      </c>
      <c r="M18" s="16">
        <v>85</v>
      </c>
      <c r="N18" s="4">
        <v>88</v>
      </c>
      <c r="O18" s="4">
        <v>85</v>
      </c>
      <c r="P18" s="4">
        <v>83</v>
      </c>
      <c r="Q18" s="4">
        <v>83</v>
      </c>
      <c r="R18" s="4">
        <v>90</v>
      </c>
      <c r="S18" s="5">
        <f t="shared" si="0"/>
        <v>86.307692307692307</v>
      </c>
      <c r="T18" s="4">
        <v>2</v>
      </c>
      <c r="U18" s="4">
        <v>0</v>
      </c>
      <c r="V18" s="4">
        <v>0</v>
      </c>
      <c r="W18" s="21" t="s">
        <v>537</v>
      </c>
      <c r="X18" s="4" t="s">
        <v>43</v>
      </c>
      <c r="Y18" s="4"/>
      <c r="Z18" s="4"/>
      <c r="AA18" s="4"/>
      <c r="AB18" s="4"/>
      <c r="AC18" s="11"/>
      <c r="AD18" s="19" t="s">
        <v>545</v>
      </c>
      <c r="AF18" s="18"/>
    </row>
    <row r="19" spans="1:32" x14ac:dyDescent="0.35">
      <c r="A19" s="4">
        <v>12</v>
      </c>
      <c r="B19" s="4" t="s">
        <v>343</v>
      </c>
      <c r="C19" s="4" t="s">
        <v>344</v>
      </c>
      <c r="D19" s="4">
        <v>4422</v>
      </c>
      <c r="E19" s="4">
        <v>83</v>
      </c>
      <c r="F19" s="4"/>
      <c r="G19" s="4">
        <v>90</v>
      </c>
      <c r="H19" s="4">
        <v>88</v>
      </c>
      <c r="I19" s="4">
        <v>81</v>
      </c>
      <c r="J19" s="4">
        <v>83</v>
      </c>
      <c r="K19" s="4">
        <v>87</v>
      </c>
      <c r="L19" s="4">
        <v>80</v>
      </c>
      <c r="M19" s="16">
        <v>88</v>
      </c>
      <c r="N19" s="4">
        <v>87</v>
      </c>
      <c r="O19" s="4">
        <v>83</v>
      </c>
      <c r="P19" s="4">
        <v>82</v>
      </c>
      <c r="Q19" s="4">
        <v>82</v>
      </c>
      <c r="R19" s="4">
        <v>90</v>
      </c>
      <c r="S19" s="5">
        <f t="shared" si="0"/>
        <v>84.92307692307692</v>
      </c>
      <c r="T19" s="4">
        <v>1</v>
      </c>
      <c r="U19" s="4">
        <v>0</v>
      </c>
      <c r="V19" s="4">
        <v>1</v>
      </c>
      <c r="W19" s="21" t="s">
        <v>537</v>
      </c>
      <c r="X19" s="4" t="s">
        <v>38</v>
      </c>
      <c r="Y19" s="4"/>
      <c r="Z19" s="4"/>
      <c r="AA19" s="4"/>
      <c r="AB19" s="4"/>
      <c r="AC19" s="11"/>
      <c r="AD19" s="19" t="s">
        <v>545</v>
      </c>
      <c r="AF19" s="18"/>
    </row>
    <row r="20" spans="1:32" x14ac:dyDescent="0.35">
      <c r="A20" s="4">
        <v>13</v>
      </c>
      <c r="B20" s="4" t="s">
        <v>345</v>
      </c>
      <c r="C20" s="4" t="s">
        <v>346</v>
      </c>
      <c r="D20" s="4">
        <v>4900</v>
      </c>
      <c r="E20" s="4">
        <v>82</v>
      </c>
      <c r="F20" s="4"/>
      <c r="G20" s="4">
        <v>90</v>
      </c>
      <c r="H20" s="4">
        <v>85</v>
      </c>
      <c r="I20" s="4">
        <v>80</v>
      </c>
      <c r="J20" s="4">
        <v>90</v>
      </c>
      <c r="K20" s="4">
        <v>85</v>
      </c>
      <c r="L20" s="4">
        <v>80</v>
      </c>
      <c r="M20" s="16">
        <v>95</v>
      </c>
      <c r="N20" s="4">
        <v>85</v>
      </c>
      <c r="O20" s="4">
        <v>85</v>
      </c>
      <c r="P20" s="4">
        <v>83</v>
      </c>
      <c r="Q20" s="4">
        <v>84</v>
      </c>
      <c r="R20" s="4"/>
      <c r="S20" s="5">
        <f t="shared" si="0"/>
        <v>85.333333333333329</v>
      </c>
      <c r="T20" s="4">
        <v>1</v>
      </c>
      <c r="U20" s="4">
        <v>0</v>
      </c>
      <c r="V20" s="4">
        <v>0</v>
      </c>
      <c r="W20" s="21" t="s">
        <v>537</v>
      </c>
      <c r="X20" s="4"/>
      <c r="Y20" s="4"/>
      <c r="Z20" s="4"/>
      <c r="AA20" s="4"/>
      <c r="AB20" s="4"/>
      <c r="AC20" s="11"/>
      <c r="AD20" s="19" t="s">
        <v>545</v>
      </c>
      <c r="AF20" s="18"/>
    </row>
    <row r="21" spans="1:32" x14ac:dyDescent="0.35">
      <c r="A21" s="4">
        <v>14</v>
      </c>
      <c r="B21" s="4" t="s">
        <v>347</v>
      </c>
      <c r="C21" s="4" t="s">
        <v>348</v>
      </c>
      <c r="D21" s="4">
        <v>4429</v>
      </c>
      <c r="E21" s="4"/>
      <c r="F21" s="4">
        <v>90</v>
      </c>
      <c r="G21" s="4">
        <v>91</v>
      </c>
      <c r="H21" s="4">
        <v>88</v>
      </c>
      <c r="I21" s="4">
        <v>92</v>
      </c>
      <c r="J21" s="4">
        <v>90</v>
      </c>
      <c r="K21" s="4">
        <v>88</v>
      </c>
      <c r="L21" s="4">
        <v>90</v>
      </c>
      <c r="M21" s="16">
        <v>87</v>
      </c>
      <c r="N21" s="4">
        <v>88</v>
      </c>
      <c r="O21" s="4">
        <v>82</v>
      </c>
      <c r="P21" s="4">
        <v>84</v>
      </c>
      <c r="Q21" s="4">
        <v>86</v>
      </c>
      <c r="R21" s="4">
        <v>88</v>
      </c>
      <c r="S21" s="5">
        <f t="shared" si="0"/>
        <v>88</v>
      </c>
      <c r="T21" s="4">
        <v>1</v>
      </c>
      <c r="U21" s="4">
        <v>4</v>
      </c>
      <c r="V21" s="4">
        <v>1</v>
      </c>
      <c r="W21" s="21" t="s">
        <v>537</v>
      </c>
      <c r="X21" s="4" t="s">
        <v>38</v>
      </c>
      <c r="Y21" s="4"/>
      <c r="Z21" s="4"/>
      <c r="AA21" s="4"/>
      <c r="AB21" s="4"/>
      <c r="AC21" s="11"/>
      <c r="AD21" s="19" t="s">
        <v>545</v>
      </c>
      <c r="AF21" s="18"/>
    </row>
    <row r="22" spans="1:32" x14ac:dyDescent="0.35">
      <c r="A22" s="4">
        <v>15</v>
      </c>
      <c r="B22" s="4" t="s">
        <v>349</v>
      </c>
      <c r="C22" s="4" t="s">
        <v>350</v>
      </c>
      <c r="D22" s="4">
        <v>4438</v>
      </c>
      <c r="E22" s="4">
        <v>87</v>
      </c>
      <c r="F22" s="4"/>
      <c r="G22" s="4">
        <v>91</v>
      </c>
      <c r="H22" s="4">
        <v>93</v>
      </c>
      <c r="I22" s="4">
        <v>94</v>
      </c>
      <c r="J22" s="4">
        <v>91</v>
      </c>
      <c r="K22" s="4">
        <v>88</v>
      </c>
      <c r="L22" s="4">
        <v>92</v>
      </c>
      <c r="M22" s="16">
        <v>87</v>
      </c>
      <c r="N22" s="4">
        <v>88</v>
      </c>
      <c r="O22" s="4">
        <v>89</v>
      </c>
      <c r="P22" s="4">
        <v>87</v>
      </c>
      <c r="Q22" s="4">
        <v>91</v>
      </c>
      <c r="R22" s="4">
        <v>96</v>
      </c>
      <c r="S22" s="5">
        <f t="shared" si="0"/>
        <v>90.307692307692307</v>
      </c>
      <c r="T22" s="4">
        <v>1</v>
      </c>
      <c r="U22" s="4">
        <v>0</v>
      </c>
      <c r="V22" s="4">
        <v>0</v>
      </c>
      <c r="W22" s="21" t="s">
        <v>538</v>
      </c>
      <c r="X22" s="4" t="s">
        <v>38</v>
      </c>
      <c r="Y22" s="4"/>
      <c r="Z22" s="4"/>
      <c r="AA22" s="4"/>
      <c r="AB22" s="4"/>
      <c r="AC22" s="11"/>
      <c r="AD22" s="20" t="s">
        <v>543</v>
      </c>
      <c r="AF22" s="18"/>
    </row>
    <row r="23" spans="1:32" x14ac:dyDescent="0.35">
      <c r="A23" s="4">
        <v>16</v>
      </c>
      <c r="B23" s="4" t="s">
        <v>351</v>
      </c>
      <c r="C23" s="4" t="s">
        <v>352</v>
      </c>
      <c r="D23" s="4">
        <v>4446</v>
      </c>
      <c r="E23" s="4">
        <v>81</v>
      </c>
      <c r="F23" s="4"/>
      <c r="G23" s="4">
        <v>88</v>
      </c>
      <c r="H23" s="4">
        <v>86</v>
      </c>
      <c r="I23" s="4">
        <v>73</v>
      </c>
      <c r="J23" s="4">
        <v>78</v>
      </c>
      <c r="K23" s="4">
        <v>87</v>
      </c>
      <c r="L23" s="4">
        <v>78</v>
      </c>
      <c r="M23" s="16">
        <v>88</v>
      </c>
      <c r="N23" s="4">
        <v>84</v>
      </c>
      <c r="O23" s="4">
        <v>80</v>
      </c>
      <c r="P23" s="4">
        <v>81</v>
      </c>
      <c r="Q23" s="4">
        <v>81</v>
      </c>
      <c r="R23" s="4">
        <v>80</v>
      </c>
      <c r="S23" s="5">
        <f t="shared" si="0"/>
        <v>81.92307692307692</v>
      </c>
      <c r="T23" s="4">
        <v>1</v>
      </c>
      <c r="U23" s="4">
        <v>0</v>
      </c>
      <c r="V23" s="4">
        <v>5</v>
      </c>
      <c r="W23" s="21" t="s">
        <v>537</v>
      </c>
      <c r="X23" s="4" t="s">
        <v>38</v>
      </c>
      <c r="Y23" s="4"/>
      <c r="Z23" s="4"/>
      <c r="AA23" s="4"/>
      <c r="AB23" s="4"/>
      <c r="AC23" s="11"/>
      <c r="AD23" s="19" t="s">
        <v>545</v>
      </c>
      <c r="AF23" s="18"/>
    </row>
    <row r="24" spans="1:32" x14ac:dyDescent="0.35">
      <c r="A24" s="4">
        <v>17</v>
      </c>
      <c r="B24" s="4" t="s">
        <v>353</v>
      </c>
      <c r="C24" s="4" t="s">
        <v>354</v>
      </c>
      <c r="D24" s="4">
        <v>4443</v>
      </c>
      <c r="E24" s="4">
        <v>81</v>
      </c>
      <c r="F24" s="4"/>
      <c r="G24" s="4">
        <v>89</v>
      </c>
      <c r="H24" s="4">
        <v>86</v>
      </c>
      <c r="I24" s="4">
        <v>80</v>
      </c>
      <c r="J24" s="4">
        <v>80</v>
      </c>
      <c r="K24" s="4">
        <v>88</v>
      </c>
      <c r="L24" s="4">
        <v>78</v>
      </c>
      <c r="M24" s="16">
        <v>88</v>
      </c>
      <c r="N24" s="4">
        <v>86</v>
      </c>
      <c r="O24" s="4">
        <v>80</v>
      </c>
      <c r="P24" s="4">
        <v>81</v>
      </c>
      <c r="Q24" s="4">
        <v>80</v>
      </c>
      <c r="R24" s="4">
        <v>90</v>
      </c>
      <c r="S24" s="5">
        <f t="shared" si="0"/>
        <v>83.615384615384613</v>
      </c>
      <c r="T24" s="4">
        <v>1</v>
      </c>
      <c r="U24" s="4">
        <v>0</v>
      </c>
      <c r="V24" s="4">
        <v>6</v>
      </c>
      <c r="W24" s="21" t="s">
        <v>537</v>
      </c>
      <c r="X24" s="4" t="s">
        <v>38</v>
      </c>
      <c r="Y24" s="4"/>
      <c r="Z24" s="4"/>
      <c r="AA24" s="4"/>
      <c r="AB24" s="4"/>
      <c r="AC24" s="11"/>
      <c r="AD24" s="19" t="s">
        <v>545</v>
      </c>
      <c r="AF24" s="18"/>
    </row>
    <row r="25" spans="1:32" x14ac:dyDescent="0.35">
      <c r="A25" s="4">
        <v>18</v>
      </c>
      <c r="B25" s="4" t="s">
        <v>355</v>
      </c>
      <c r="C25" s="4" t="s">
        <v>356</v>
      </c>
      <c r="D25" s="4">
        <v>4461</v>
      </c>
      <c r="E25" s="4">
        <v>86</v>
      </c>
      <c r="F25" s="4"/>
      <c r="G25" s="4">
        <v>88</v>
      </c>
      <c r="H25" s="4">
        <v>87</v>
      </c>
      <c r="I25" s="4">
        <v>73</v>
      </c>
      <c r="J25" s="4">
        <v>78</v>
      </c>
      <c r="K25" s="4">
        <v>89</v>
      </c>
      <c r="L25" s="4">
        <v>79</v>
      </c>
      <c r="M25" s="16">
        <v>87</v>
      </c>
      <c r="N25" s="4">
        <v>82</v>
      </c>
      <c r="O25" s="4">
        <v>80</v>
      </c>
      <c r="P25" s="4">
        <v>82</v>
      </c>
      <c r="Q25" s="4">
        <v>83</v>
      </c>
      <c r="R25" s="4">
        <v>80</v>
      </c>
      <c r="S25" s="5">
        <f t="shared" si="0"/>
        <v>82.615384615384613</v>
      </c>
      <c r="T25" s="4">
        <v>2</v>
      </c>
      <c r="U25" s="4">
        <v>0</v>
      </c>
      <c r="V25" s="4">
        <v>5</v>
      </c>
      <c r="W25" s="21" t="s">
        <v>537</v>
      </c>
      <c r="X25" s="4" t="s">
        <v>38</v>
      </c>
      <c r="Y25" s="4"/>
      <c r="Z25" s="4"/>
      <c r="AA25" s="4"/>
      <c r="AB25" s="4"/>
      <c r="AC25" s="11"/>
      <c r="AD25" s="19" t="s">
        <v>545</v>
      </c>
      <c r="AF25" s="18"/>
    </row>
    <row r="26" spans="1:32" x14ac:dyDescent="0.35">
      <c r="A26" s="4">
        <v>19</v>
      </c>
      <c r="B26" s="4" t="s">
        <v>357</v>
      </c>
      <c r="C26" s="4" t="s">
        <v>358</v>
      </c>
      <c r="D26" s="4">
        <v>4468</v>
      </c>
      <c r="E26" s="4">
        <v>87</v>
      </c>
      <c r="F26" s="4"/>
      <c r="G26" s="4">
        <v>91</v>
      </c>
      <c r="H26" s="4">
        <v>88</v>
      </c>
      <c r="I26" s="4">
        <v>88</v>
      </c>
      <c r="J26" s="4">
        <v>83</v>
      </c>
      <c r="K26" s="4">
        <v>87</v>
      </c>
      <c r="L26" s="4">
        <v>89</v>
      </c>
      <c r="M26" s="16">
        <v>92</v>
      </c>
      <c r="N26" s="4">
        <v>85</v>
      </c>
      <c r="O26" s="4">
        <v>89</v>
      </c>
      <c r="P26" s="4">
        <v>83</v>
      </c>
      <c r="Q26" s="4">
        <v>83</v>
      </c>
      <c r="R26" s="4">
        <v>88</v>
      </c>
      <c r="S26" s="5">
        <f t="shared" si="0"/>
        <v>87.15384615384616</v>
      </c>
      <c r="T26" s="4">
        <v>3</v>
      </c>
      <c r="U26" s="4">
        <v>0</v>
      </c>
      <c r="V26" s="4">
        <v>0</v>
      </c>
      <c r="W26" s="21" t="s">
        <v>537</v>
      </c>
      <c r="X26" s="4" t="s">
        <v>38</v>
      </c>
      <c r="Y26" s="4"/>
      <c r="Z26" s="4"/>
      <c r="AA26" s="4"/>
      <c r="AB26" s="4"/>
      <c r="AC26" s="11"/>
      <c r="AD26" s="19" t="s">
        <v>545</v>
      </c>
      <c r="AF26" s="18"/>
    </row>
    <row r="27" spans="1:32" x14ac:dyDescent="0.35">
      <c r="A27" s="4">
        <v>20</v>
      </c>
      <c r="B27" s="4" t="s">
        <v>359</v>
      </c>
      <c r="C27" s="4" t="s">
        <v>360</v>
      </c>
      <c r="D27" s="4">
        <v>4472</v>
      </c>
      <c r="E27" s="4"/>
      <c r="F27" s="4">
        <v>90</v>
      </c>
      <c r="G27" s="4">
        <v>90</v>
      </c>
      <c r="H27" s="4">
        <v>87</v>
      </c>
      <c r="I27" s="4">
        <v>80</v>
      </c>
      <c r="J27" s="4">
        <v>85</v>
      </c>
      <c r="K27" s="4">
        <v>87</v>
      </c>
      <c r="L27" s="4">
        <v>89</v>
      </c>
      <c r="M27" s="16">
        <v>89</v>
      </c>
      <c r="N27" s="4">
        <v>88</v>
      </c>
      <c r="O27" s="4">
        <v>82</v>
      </c>
      <c r="P27" s="4">
        <v>84</v>
      </c>
      <c r="Q27" s="4">
        <v>83</v>
      </c>
      <c r="R27" s="4">
        <v>90</v>
      </c>
      <c r="S27" s="5">
        <f t="shared" si="0"/>
        <v>86.461538461538467</v>
      </c>
      <c r="T27" s="4">
        <v>2</v>
      </c>
      <c r="U27" s="4">
        <v>4</v>
      </c>
      <c r="V27" s="4">
        <v>0</v>
      </c>
      <c r="W27" s="21" t="s">
        <v>537</v>
      </c>
      <c r="X27" s="4" t="s">
        <v>38</v>
      </c>
      <c r="Y27" s="4"/>
      <c r="Z27" s="4"/>
      <c r="AA27" s="4"/>
      <c r="AB27" s="4"/>
      <c r="AC27" s="11"/>
      <c r="AD27" s="19" t="s">
        <v>545</v>
      </c>
      <c r="AF27" s="18"/>
    </row>
    <row r="28" spans="1:32" x14ac:dyDescent="0.35">
      <c r="A28" s="4">
        <v>21</v>
      </c>
      <c r="B28" s="4" t="s">
        <v>361</v>
      </c>
      <c r="C28" s="4" t="s">
        <v>362</v>
      </c>
      <c r="D28" s="4">
        <v>4474</v>
      </c>
      <c r="E28" s="4"/>
      <c r="F28" s="4">
        <v>90</v>
      </c>
      <c r="G28" s="4">
        <v>90</v>
      </c>
      <c r="H28" s="4">
        <v>87</v>
      </c>
      <c r="I28" s="4">
        <v>90</v>
      </c>
      <c r="J28" s="4">
        <v>87</v>
      </c>
      <c r="K28" s="4">
        <v>88</v>
      </c>
      <c r="L28" s="4">
        <v>85</v>
      </c>
      <c r="M28" s="16">
        <v>86</v>
      </c>
      <c r="N28" s="4">
        <v>88</v>
      </c>
      <c r="O28" s="4">
        <v>81</v>
      </c>
      <c r="P28" s="4">
        <v>84</v>
      </c>
      <c r="Q28" s="4">
        <v>87</v>
      </c>
      <c r="R28" s="4">
        <v>90</v>
      </c>
      <c r="S28" s="5">
        <f t="shared" si="0"/>
        <v>87.15384615384616</v>
      </c>
      <c r="T28" s="4">
        <v>1</v>
      </c>
      <c r="U28" s="4">
        <v>4</v>
      </c>
      <c r="V28" s="4">
        <v>0</v>
      </c>
      <c r="W28" s="21" t="s">
        <v>537</v>
      </c>
      <c r="X28" s="4" t="s">
        <v>38</v>
      </c>
      <c r="Y28" s="4"/>
      <c r="Z28" s="4"/>
      <c r="AA28" s="4"/>
      <c r="AB28" s="4"/>
      <c r="AC28" s="11"/>
      <c r="AD28" s="19" t="s">
        <v>545</v>
      </c>
      <c r="AF28" s="18"/>
    </row>
    <row r="29" spans="1:32" x14ac:dyDescent="0.35">
      <c r="A29" s="4">
        <v>22</v>
      </c>
      <c r="B29" s="4" t="s">
        <v>363</v>
      </c>
      <c r="C29" s="4" t="s">
        <v>364</v>
      </c>
      <c r="D29" s="4">
        <v>4480</v>
      </c>
      <c r="E29" s="4">
        <v>90</v>
      </c>
      <c r="F29" s="4"/>
      <c r="G29" s="4">
        <v>91</v>
      </c>
      <c r="H29" s="4">
        <v>93</v>
      </c>
      <c r="I29" s="4">
        <v>92</v>
      </c>
      <c r="J29" s="4">
        <v>90</v>
      </c>
      <c r="K29" s="4">
        <v>88</v>
      </c>
      <c r="L29" s="4">
        <v>92</v>
      </c>
      <c r="M29" s="16">
        <v>89</v>
      </c>
      <c r="N29" s="4">
        <v>89</v>
      </c>
      <c r="O29" s="4">
        <v>89</v>
      </c>
      <c r="P29" s="4">
        <v>87</v>
      </c>
      <c r="Q29" s="4">
        <v>91</v>
      </c>
      <c r="R29" s="4">
        <v>96</v>
      </c>
      <c r="S29" s="5">
        <f t="shared" si="0"/>
        <v>90.538461538461533</v>
      </c>
      <c r="T29" s="4">
        <v>1</v>
      </c>
      <c r="U29" s="4">
        <v>0</v>
      </c>
      <c r="V29" s="4">
        <v>2</v>
      </c>
      <c r="W29" s="21" t="s">
        <v>538</v>
      </c>
      <c r="X29" s="4" t="s">
        <v>38</v>
      </c>
      <c r="Y29" s="4"/>
      <c r="Z29" s="4"/>
      <c r="AA29" s="4"/>
      <c r="AB29" s="4"/>
      <c r="AC29" s="11"/>
      <c r="AD29" s="20" t="s">
        <v>543</v>
      </c>
      <c r="AF29" s="18"/>
    </row>
    <row r="30" spans="1:32" x14ac:dyDescent="0.35">
      <c r="A30" s="4">
        <v>23</v>
      </c>
      <c r="B30" s="4" t="s">
        <v>365</v>
      </c>
      <c r="C30" s="4" t="s">
        <v>366</v>
      </c>
      <c r="D30" s="4">
        <v>4484</v>
      </c>
      <c r="E30" s="4">
        <v>87</v>
      </c>
      <c r="F30" s="4"/>
      <c r="G30" s="4">
        <v>91</v>
      </c>
      <c r="H30" s="4">
        <v>89</v>
      </c>
      <c r="I30" s="4">
        <v>93</v>
      </c>
      <c r="J30" s="4">
        <v>85</v>
      </c>
      <c r="K30" s="4">
        <v>88</v>
      </c>
      <c r="L30" s="4">
        <v>91</v>
      </c>
      <c r="M30" s="16">
        <v>93</v>
      </c>
      <c r="N30" s="4">
        <v>87</v>
      </c>
      <c r="O30" s="4">
        <v>90</v>
      </c>
      <c r="P30" s="4">
        <v>87</v>
      </c>
      <c r="Q30" s="4">
        <v>89</v>
      </c>
      <c r="R30" s="4">
        <v>97</v>
      </c>
      <c r="S30" s="5">
        <f t="shared" si="0"/>
        <v>89.769230769230774</v>
      </c>
      <c r="T30" s="4">
        <v>1</v>
      </c>
      <c r="U30" s="4">
        <v>0</v>
      </c>
      <c r="V30" s="4">
        <v>2</v>
      </c>
      <c r="W30" s="21" t="s">
        <v>538</v>
      </c>
      <c r="X30" s="4" t="s">
        <v>38</v>
      </c>
      <c r="Y30" s="4"/>
      <c r="Z30" s="4"/>
      <c r="AA30" s="4"/>
      <c r="AB30" s="4"/>
      <c r="AC30" s="11"/>
      <c r="AD30" s="19" t="s">
        <v>545</v>
      </c>
      <c r="AF30" s="18"/>
    </row>
    <row r="31" spans="1:32" x14ac:dyDescent="0.35">
      <c r="A31" s="4">
        <v>24</v>
      </c>
      <c r="B31" s="4" t="s">
        <v>367</v>
      </c>
      <c r="C31" s="4" t="s">
        <v>368</v>
      </c>
      <c r="D31" s="4">
        <v>4489</v>
      </c>
      <c r="E31" s="4">
        <v>83</v>
      </c>
      <c r="F31" s="4"/>
      <c r="G31" s="4">
        <v>88</v>
      </c>
      <c r="H31" s="4">
        <v>86</v>
      </c>
      <c r="I31" s="4">
        <v>73</v>
      </c>
      <c r="J31" s="4">
        <v>80</v>
      </c>
      <c r="K31" s="4">
        <v>88</v>
      </c>
      <c r="L31" s="4">
        <v>79</v>
      </c>
      <c r="M31" s="16">
        <v>88</v>
      </c>
      <c r="N31" s="4">
        <v>85</v>
      </c>
      <c r="O31" s="4">
        <v>80</v>
      </c>
      <c r="P31" s="4">
        <v>81</v>
      </c>
      <c r="Q31" s="4">
        <v>81</v>
      </c>
      <c r="R31" s="4">
        <v>95</v>
      </c>
      <c r="S31" s="5">
        <f t="shared" si="0"/>
        <v>83.615384615384613</v>
      </c>
      <c r="T31" s="4">
        <v>0</v>
      </c>
      <c r="U31" s="4">
        <v>0</v>
      </c>
      <c r="V31" s="4">
        <v>4</v>
      </c>
      <c r="W31" s="21" t="s">
        <v>537</v>
      </c>
      <c r="X31" s="4" t="s">
        <v>38</v>
      </c>
      <c r="Y31" s="4"/>
      <c r="Z31" s="4"/>
      <c r="AA31" s="4"/>
      <c r="AB31" s="4"/>
      <c r="AC31" s="11"/>
      <c r="AD31" s="19" t="s">
        <v>545</v>
      </c>
      <c r="AF31" s="18"/>
    </row>
    <row r="32" spans="1:32" x14ac:dyDescent="0.35">
      <c r="A32" s="4">
        <v>25</v>
      </c>
      <c r="B32" s="4" t="s">
        <v>369</v>
      </c>
      <c r="C32" s="4" t="s">
        <v>370</v>
      </c>
      <c r="D32" s="4">
        <v>4491</v>
      </c>
      <c r="E32" s="4">
        <v>86</v>
      </c>
      <c r="F32" s="4"/>
      <c r="G32" s="4">
        <v>90</v>
      </c>
      <c r="H32" s="4">
        <v>88</v>
      </c>
      <c r="I32" s="4">
        <v>73</v>
      </c>
      <c r="J32" s="4">
        <v>80</v>
      </c>
      <c r="K32" s="4">
        <v>86</v>
      </c>
      <c r="L32" s="4">
        <v>79</v>
      </c>
      <c r="M32" s="16">
        <v>87</v>
      </c>
      <c r="N32" s="4">
        <v>85</v>
      </c>
      <c r="O32" s="4">
        <v>81</v>
      </c>
      <c r="P32" s="4">
        <v>81</v>
      </c>
      <c r="Q32" s="4">
        <v>86</v>
      </c>
      <c r="R32" s="4">
        <v>88</v>
      </c>
      <c r="S32" s="5">
        <f t="shared" si="0"/>
        <v>83.84615384615384</v>
      </c>
      <c r="T32" s="4">
        <v>1</v>
      </c>
      <c r="U32" s="4">
        <v>0</v>
      </c>
      <c r="V32" s="4">
        <v>3</v>
      </c>
      <c r="W32" s="21" t="s">
        <v>537</v>
      </c>
      <c r="X32" s="4" t="s">
        <v>38</v>
      </c>
      <c r="Y32" s="4"/>
      <c r="Z32" s="4"/>
      <c r="AA32" s="4"/>
      <c r="AB32" s="4"/>
      <c r="AC32" s="11"/>
      <c r="AD32" s="19" t="s">
        <v>545</v>
      </c>
      <c r="AF32" s="18"/>
    </row>
    <row r="33" spans="1:32" x14ac:dyDescent="0.35">
      <c r="A33" s="4">
        <v>26</v>
      </c>
      <c r="B33" s="4" t="s">
        <v>371</v>
      </c>
      <c r="C33" s="4" t="s">
        <v>372</v>
      </c>
      <c r="D33" s="4">
        <v>4492</v>
      </c>
      <c r="E33" s="4">
        <v>81</v>
      </c>
      <c r="F33" s="4"/>
      <c r="G33" s="4">
        <v>80</v>
      </c>
      <c r="H33" s="4">
        <v>87</v>
      </c>
      <c r="I33" s="4">
        <v>72</v>
      </c>
      <c r="J33" s="4">
        <v>80</v>
      </c>
      <c r="K33" s="4">
        <v>88</v>
      </c>
      <c r="L33" s="4">
        <v>78</v>
      </c>
      <c r="M33" s="16">
        <v>88</v>
      </c>
      <c r="N33" s="4">
        <v>82</v>
      </c>
      <c r="O33" s="4">
        <v>80</v>
      </c>
      <c r="P33" s="4">
        <v>81</v>
      </c>
      <c r="Q33" s="4">
        <v>80</v>
      </c>
      <c r="R33" s="4">
        <v>88</v>
      </c>
      <c r="S33" s="5">
        <f t="shared" si="0"/>
        <v>81.92307692307692</v>
      </c>
      <c r="T33" s="4">
        <v>1</v>
      </c>
      <c r="U33" s="4">
        <v>0</v>
      </c>
      <c r="V33" s="4">
        <v>6</v>
      </c>
      <c r="W33" s="21" t="s">
        <v>537</v>
      </c>
      <c r="X33" s="4" t="s">
        <v>38</v>
      </c>
      <c r="Y33" s="4"/>
      <c r="Z33" s="4"/>
      <c r="AA33" s="4"/>
      <c r="AB33" s="4"/>
      <c r="AC33" s="11"/>
      <c r="AD33" s="19" t="s">
        <v>545</v>
      </c>
      <c r="AF33" s="18"/>
    </row>
    <row r="34" spans="1:32" x14ac:dyDescent="0.35">
      <c r="A34" s="4">
        <v>27</v>
      </c>
      <c r="B34" s="4" t="s">
        <v>373</v>
      </c>
      <c r="C34" s="4" t="s">
        <v>374</v>
      </c>
      <c r="D34" s="4">
        <v>4496</v>
      </c>
      <c r="E34" s="4">
        <v>91</v>
      </c>
      <c r="F34" s="4"/>
      <c r="G34" s="4">
        <v>91</v>
      </c>
      <c r="H34" s="4">
        <v>92</v>
      </c>
      <c r="I34" s="4">
        <v>85</v>
      </c>
      <c r="J34" s="4">
        <v>88</v>
      </c>
      <c r="K34" s="4">
        <v>89</v>
      </c>
      <c r="L34" s="4">
        <v>88</v>
      </c>
      <c r="M34" s="16">
        <v>87</v>
      </c>
      <c r="N34" s="4">
        <v>87</v>
      </c>
      <c r="O34" s="4">
        <v>80</v>
      </c>
      <c r="P34" s="4">
        <v>84</v>
      </c>
      <c r="Q34" s="4">
        <v>84</v>
      </c>
      <c r="R34" s="4">
        <v>88</v>
      </c>
      <c r="S34" s="5">
        <f t="shared" si="0"/>
        <v>87.230769230769226</v>
      </c>
      <c r="T34" s="4">
        <v>1</v>
      </c>
      <c r="U34" s="4">
        <v>2</v>
      </c>
      <c r="V34" s="4">
        <v>0</v>
      </c>
      <c r="W34" s="21" t="s">
        <v>537</v>
      </c>
      <c r="X34" s="4" t="s">
        <v>38</v>
      </c>
      <c r="Y34" s="4"/>
      <c r="Z34" s="4"/>
      <c r="AA34" s="4"/>
      <c r="AB34" s="4"/>
      <c r="AC34" s="11"/>
      <c r="AD34" s="19" t="s">
        <v>545</v>
      </c>
      <c r="AF34" s="18"/>
    </row>
    <row r="35" spans="1:32" x14ac:dyDescent="0.35">
      <c r="A35" s="4">
        <v>28</v>
      </c>
      <c r="B35" s="4" t="s">
        <v>375</v>
      </c>
      <c r="C35" s="4" t="s">
        <v>376</v>
      </c>
      <c r="D35" s="4">
        <v>4502</v>
      </c>
      <c r="E35" s="4">
        <v>83</v>
      </c>
      <c r="F35" s="4"/>
      <c r="G35" s="4">
        <v>90</v>
      </c>
      <c r="H35" s="4">
        <v>87</v>
      </c>
      <c r="I35" s="4">
        <v>76</v>
      </c>
      <c r="J35" s="4">
        <v>85</v>
      </c>
      <c r="K35" s="4">
        <v>87</v>
      </c>
      <c r="L35" s="4">
        <v>80</v>
      </c>
      <c r="M35" s="16">
        <v>85</v>
      </c>
      <c r="N35" s="4">
        <v>88</v>
      </c>
      <c r="O35" s="4">
        <v>81</v>
      </c>
      <c r="P35" s="4">
        <v>83</v>
      </c>
      <c r="Q35" s="4">
        <v>83</v>
      </c>
      <c r="R35" s="4">
        <v>96</v>
      </c>
      <c r="S35" s="5">
        <f t="shared" si="0"/>
        <v>84.92307692307692</v>
      </c>
      <c r="T35" s="4">
        <v>0</v>
      </c>
      <c r="U35" s="4">
        <v>0</v>
      </c>
      <c r="V35" s="4">
        <v>3</v>
      </c>
      <c r="W35" s="21" t="s">
        <v>537</v>
      </c>
      <c r="X35" s="4" t="s">
        <v>43</v>
      </c>
      <c r="Y35" s="4"/>
      <c r="Z35" s="4"/>
      <c r="AA35" s="4"/>
      <c r="AB35" s="4"/>
      <c r="AC35" s="11"/>
      <c r="AD35" s="19" t="s">
        <v>545</v>
      </c>
      <c r="AF35" s="18"/>
    </row>
    <row r="36" spans="1:32" x14ac:dyDescent="0.35">
      <c r="A36" s="4">
        <v>29</v>
      </c>
      <c r="B36" s="4" t="s">
        <v>377</v>
      </c>
      <c r="C36" s="4" t="s">
        <v>378</v>
      </c>
      <c r="D36" s="4">
        <v>4510</v>
      </c>
      <c r="E36" s="4">
        <v>92</v>
      </c>
      <c r="F36" s="4"/>
      <c r="G36" s="4">
        <v>83</v>
      </c>
      <c r="H36" s="4">
        <v>87</v>
      </c>
      <c r="I36" s="4">
        <v>76</v>
      </c>
      <c r="J36" s="4">
        <v>84</v>
      </c>
      <c r="K36" s="4">
        <v>88</v>
      </c>
      <c r="L36" s="4">
        <v>79</v>
      </c>
      <c r="M36" s="16">
        <v>88</v>
      </c>
      <c r="N36" s="4">
        <v>84</v>
      </c>
      <c r="O36" s="4">
        <v>80</v>
      </c>
      <c r="P36" s="4">
        <v>85</v>
      </c>
      <c r="Q36" s="4">
        <v>84</v>
      </c>
      <c r="R36" s="4">
        <v>80</v>
      </c>
      <c r="S36" s="5">
        <f t="shared" si="0"/>
        <v>83.84615384615384</v>
      </c>
      <c r="T36" s="4">
        <v>2</v>
      </c>
      <c r="U36" s="4">
        <v>0</v>
      </c>
      <c r="V36" s="4">
        <v>4</v>
      </c>
      <c r="W36" s="21" t="s">
        <v>537</v>
      </c>
      <c r="X36" s="4" t="s">
        <v>38</v>
      </c>
      <c r="Y36" s="4"/>
      <c r="Z36" s="4"/>
      <c r="AA36" s="4"/>
      <c r="AB36" s="4"/>
      <c r="AC36" s="11"/>
      <c r="AD36" s="19" t="s">
        <v>545</v>
      </c>
      <c r="AF36" s="18"/>
    </row>
    <row r="37" spans="1:32" x14ac:dyDescent="0.35">
      <c r="A37" s="4">
        <v>30</v>
      </c>
      <c r="B37" s="4" t="s">
        <v>379</v>
      </c>
      <c r="C37" s="4" t="s">
        <v>380</v>
      </c>
      <c r="D37" s="4">
        <v>4526</v>
      </c>
      <c r="E37" s="4">
        <v>90</v>
      </c>
      <c r="F37" s="4"/>
      <c r="G37" s="4">
        <v>92</v>
      </c>
      <c r="H37" s="4">
        <v>92</v>
      </c>
      <c r="I37" s="4">
        <v>94</v>
      </c>
      <c r="J37" s="4">
        <v>88</v>
      </c>
      <c r="K37" s="4">
        <v>87</v>
      </c>
      <c r="L37" s="4">
        <v>90</v>
      </c>
      <c r="M37" s="16">
        <v>87</v>
      </c>
      <c r="N37" s="4">
        <v>88</v>
      </c>
      <c r="O37" s="4">
        <v>90</v>
      </c>
      <c r="P37" s="4">
        <v>88</v>
      </c>
      <c r="Q37" s="4">
        <v>88</v>
      </c>
      <c r="R37" s="4">
        <v>86</v>
      </c>
      <c r="S37" s="5">
        <f t="shared" si="0"/>
        <v>89.230769230769226</v>
      </c>
      <c r="T37" s="4">
        <v>0</v>
      </c>
      <c r="U37" s="4">
        <v>0</v>
      </c>
      <c r="V37" s="4">
        <v>0</v>
      </c>
      <c r="W37" s="21" t="s">
        <v>538</v>
      </c>
      <c r="X37" s="4" t="s">
        <v>38</v>
      </c>
      <c r="Y37" s="4"/>
      <c r="Z37" s="4"/>
      <c r="AA37" s="4"/>
      <c r="AB37" s="4"/>
      <c r="AC37" s="11"/>
      <c r="AD37" s="19" t="s">
        <v>545</v>
      </c>
      <c r="AF37" s="18"/>
    </row>
    <row r="38" spans="1:32" x14ac:dyDescent="0.35">
      <c r="A38" s="4">
        <v>31</v>
      </c>
      <c r="B38" s="4" t="s">
        <v>381</v>
      </c>
      <c r="C38" s="4" t="s">
        <v>382</v>
      </c>
      <c r="D38" s="4">
        <v>4533</v>
      </c>
      <c r="E38" s="4">
        <v>88</v>
      </c>
      <c r="F38" s="4"/>
      <c r="G38" s="4">
        <v>88</v>
      </c>
      <c r="H38" s="4">
        <v>86</v>
      </c>
      <c r="I38" s="4">
        <v>79</v>
      </c>
      <c r="J38" s="4">
        <v>80</v>
      </c>
      <c r="K38" s="4">
        <v>87</v>
      </c>
      <c r="L38" s="4">
        <v>79</v>
      </c>
      <c r="M38" s="16">
        <v>87</v>
      </c>
      <c r="N38" s="4">
        <v>86</v>
      </c>
      <c r="O38" s="4">
        <v>80</v>
      </c>
      <c r="P38" s="4">
        <v>81</v>
      </c>
      <c r="Q38" s="4">
        <v>81</v>
      </c>
      <c r="R38" s="4">
        <v>88</v>
      </c>
      <c r="S38" s="5">
        <f t="shared" si="0"/>
        <v>83.84615384615384</v>
      </c>
      <c r="T38" s="4">
        <v>0</v>
      </c>
      <c r="U38" s="4">
        <v>1</v>
      </c>
      <c r="V38" s="4">
        <v>3</v>
      </c>
      <c r="W38" s="21" t="s">
        <v>537</v>
      </c>
      <c r="X38" s="4" t="s">
        <v>38</v>
      </c>
      <c r="Y38" s="4"/>
      <c r="Z38" s="4"/>
      <c r="AA38" s="4"/>
      <c r="AB38" s="4"/>
      <c r="AC38" s="11"/>
      <c r="AD38" s="19" t="s">
        <v>545</v>
      </c>
      <c r="AF38" s="18"/>
    </row>
    <row r="39" spans="1:32" x14ac:dyDescent="0.35">
      <c r="A39" s="4">
        <v>32</v>
      </c>
      <c r="B39" s="4" t="s">
        <v>383</v>
      </c>
      <c r="C39" s="4" t="s">
        <v>384</v>
      </c>
      <c r="D39" s="4">
        <v>4535</v>
      </c>
      <c r="E39" s="4">
        <v>83</v>
      </c>
      <c r="F39" s="4"/>
      <c r="G39" s="4">
        <v>93</v>
      </c>
      <c r="H39" s="4">
        <v>93</v>
      </c>
      <c r="I39" s="4">
        <v>95</v>
      </c>
      <c r="J39" s="4">
        <v>91</v>
      </c>
      <c r="K39" s="4">
        <v>87</v>
      </c>
      <c r="L39" s="4">
        <v>91</v>
      </c>
      <c r="M39" s="16">
        <v>85</v>
      </c>
      <c r="N39" s="4">
        <v>89</v>
      </c>
      <c r="O39" s="4">
        <v>90</v>
      </c>
      <c r="P39" s="4">
        <v>89</v>
      </c>
      <c r="Q39" s="4">
        <v>92</v>
      </c>
      <c r="R39" s="4">
        <v>96</v>
      </c>
      <c r="S39" s="5">
        <f t="shared" si="0"/>
        <v>90.307692307692307</v>
      </c>
      <c r="T39" s="4">
        <v>1</v>
      </c>
      <c r="U39" s="4">
        <v>0</v>
      </c>
      <c r="V39" s="4">
        <v>0</v>
      </c>
      <c r="W39" s="21" t="s">
        <v>538</v>
      </c>
      <c r="X39" s="4" t="s">
        <v>38</v>
      </c>
      <c r="Y39" s="4"/>
      <c r="Z39" s="4"/>
      <c r="AA39" s="4"/>
      <c r="AB39" s="4" t="s">
        <v>38</v>
      </c>
      <c r="AC39" s="11"/>
      <c r="AD39" s="20" t="s">
        <v>544</v>
      </c>
      <c r="AF39" s="18"/>
    </row>
    <row r="40" spans="1:32" x14ac:dyDescent="0.35">
      <c r="A40" s="4">
        <v>33</v>
      </c>
      <c r="B40" s="4" t="s">
        <v>385</v>
      </c>
      <c r="C40" s="4" t="s">
        <v>386</v>
      </c>
      <c r="D40" s="4">
        <v>4539</v>
      </c>
      <c r="E40" s="4">
        <v>85</v>
      </c>
      <c r="F40" s="4"/>
      <c r="G40" s="4">
        <v>89</v>
      </c>
      <c r="H40" s="4">
        <v>87</v>
      </c>
      <c r="I40" s="4">
        <v>74</v>
      </c>
      <c r="J40" s="4">
        <v>85</v>
      </c>
      <c r="K40" s="4">
        <v>87</v>
      </c>
      <c r="L40" s="4">
        <v>79</v>
      </c>
      <c r="M40" s="16">
        <v>87</v>
      </c>
      <c r="N40" s="4">
        <v>87</v>
      </c>
      <c r="O40" s="4">
        <v>80</v>
      </c>
      <c r="P40" s="4">
        <v>84</v>
      </c>
      <c r="Q40" s="4">
        <v>86</v>
      </c>
      <c r="R40" s="4">
        <v>92</v>
      </c>
      <c r="S40" s="5">
        <f t="shared" si="0"/>
        <v>84.769230769230774</v>
      </c>
      <c r="T40" s="4">
        <v>2</v>
      </c>
      <c r="U40" s="4">
        <v>0</v>
      </c>
      <c r="V40" s="4">
        <v>2</v>
      </c>
      <c r="W40" s="21" t="s">
        <v>537</v>
      </c>
      <c r="X40" s="4" t="s">
        <v>38</v>
      </c>
      <c r="Y40" s="4"/>
      <c r="Z40" s="4"/>
      <c r="AA40" s="4"/>
      <c r="AB40" s="4"/>
      <c r="AC40" s="11"/>
      <c r="AD40" s="19" t="s">
        <v>545</v>
      </c>
      <c r="AF40" s="18"/>
    </row>
    <row r="41" spans="1:32" x14ac:dyDescent="0.35">
      <c r="AD41" s="12"/>
    </row>
  </sheetData>
  <mergeCells count="30">
    <mergeCell ref="I5:I7"/>
    <mergeCell ref="AB5:AB7"/>
    <mergeCell ref="AC5:AC7"/>
    <mergeCell ref="X4:AC4"/>
    <mergeCell ref="R5:R7"/>
    <mergeCell ref="X5:X7"/>
    <mergeCell ref="Y5:Y7"/>
    <mergeCell ref="Z5:Z7"/>
    <mergeCell ref="AA5:AA7"/>
    <mergeCell ref="T4:V6"/>
    <mergeCell ref="S4:S7"/>
    <mergeCell ref="O5:O7"/>
    <mergeCell ref="M5:M7"/>
    <mergeCell ref="W4:W7"/>
    <mergeCell ref="AD4:AD7"/>
    <mergeCell ref="J5:J7"/>
    <mergeCell ref="K5:K7"/>
    <mergeCell ref="A4:A7"/>
    <mergeCell ref="B4:B7"/>
    <mergeCell ref="C4:C7"/>
    <mergeCell ref="D4:D7"/>
    <mergeCell ref="E4:R4"/>
    <mergeCell ref="L5:L7"/>
    <mergeCell ref="N5:N7"/>
    <mergeCell ref="P5:P7"/>
    <mergeCell ref="Q5:Q7"/>
    <mergeCell ref="E5:E7"/>
    <mergeCell ref="F5:F7"/>
    <mergeCell ref="G5:G7"/>
    <mergeCell ref="H5:H7"/>
  </mergeCells>
  <conditionalFormatting sqref="M8:M40">
    <cfRule type="cellIs" dxfId="5" priority="1" operator="greaterThan">
      <formula>100</formula>
    </cfRule>
    <cfRule type="cellIs" dxfId="4" priority="2" operator="lessThan">
      <formula>78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1466-0565-4188-829C-512CD62AFC64}">
  <dimension ref="A1:AL40"/>
  <sheetViews>
    <sheetView zoomScale="56" zoomScaleNormal="55" workbookViewId="0">
      <selection activeCell="AP7" sqref="AP7"/>
    </sheetView>
  </sheetViews>
  <sheetFormatPr defaultRowHeight="14.5" x14ac:dyDescent="0.35"/>
  <cols>
    <col min="1" max="1" width="4" customWidth="1"/>
    <col min="2" max="2" width="27.1796875" bestFit="1" customWidth="1"/>
    <col min="3" max="3" width="11.453125" customWidth="1"/>
    <col min="4" max="4" width="5" bestFit="1" customWidth="1"/>
    <col min="5" max="18" width="5" customWidth="1"/>
    <col min="19" max="19" width="7.54296875" customWidth="1"/>
    <col min="20" max="22" width="5" customWidth="1"/>
    <col min="23" max="23" width="13.36328125" customWidth="1"/>
    <col min="24" max="35" width="5" customWidth="1"/>
    <col min="36" max="36" width="12.90625" customWidth="1"/>
  </cols>
  <sheetData>
    <row r="1" spans="1:38" ht="18.5" x14ac:dyDescent="0.4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8" x14ac:dyDescent="0.35">
      <c r="A2" s="7" t="s">
        <v>1</v>
      </c>
      <c r="B2" s="7"/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8" x14ac:dyDescent="0.35">
      <c r="A3" s="7" t="s">
        <v>3</v>
      </c>
      <c r="B3" s="7"/>
      <c r="C3" s="2" t="s">
        <v>535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8" x14ac:dyDescent="0.35">
      <c r="A4" s="44" t="s">
        <v>4</v>
      </c>
      <c r="B4" s="44" t="s">
        <v>5</v>
      </c>
      <c r="C4" s="44" t="s">
        <v>6</v>
      </c>
      <c r="D4" s="44" t="s">
        <v>7</v>
      </c>
      <c r="E4" s="44" t="s">
        <v>8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5" t="s">
        <v>106</v>
      </c>
      <c r="T4" s="44" t="s">
        <v>9</v>
      </c>
      <c r="U4" s="44"/>
      <c r="V4" s="44"/>
      <c r="W4" s="45" t="s">
        <v>522</v>
      </c>
      <c r="X4" s="44" t="s">
        <v>10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25" t="s">
        <v>540</v>
      </c>
    </row>
    <row r="5" spans="1:38" x14ac:dyDescent="0.35">
      <c r="A5" s="44"/>
      <c r="B5" s="44"/>
      <c r="C5" s="44"/>
      <c r="D5" s="44"/>
      <c r="E5" s="44" t="s">
        <v>11</v>
      </c>
      <c r="F5" s="44" t="s">
        <v>107</v>
      </c>
      <c r="G5" s="44" t="s">
        <v>12</v>
      </c>
      <c r="H5" s="44" t="s">
        <v>13</v>
      </c>
      <c r="I5" s="44" t="s">
        <v>14</v>
      </c>
      <c r="J5" s="44" t="s">
        <v>15</v>
      </c>
      <c r="K5" s="44" t="s">
        <v>16</v>
      </c>
      <c r="L5" s="24" t="s">
        <v>523</v>
      </c>
      <c r="M5" s="24" t="s">
        <v>524</v>
      </c>
      <c r="N5" s="44" t="s">
        <v>18</v>
      </c>
      <c r="O5" s="24" t="s">
        <v>528</v>
      </c>
      <c r="P5" s="44" t="s">
        <v>19</v>
      </c>
      <c r="Q5" s="44" t="s">
        <v>20</v>
      </c>
      <c r="R5" s="44" t="s">
        <v>387</v>
      </c>
      <c r="S5" s="43"/>
      <c r="T5" s="44"/>
      <c r="U5" s="44"/>
      <c r="V5" s="44"/>
      <c r="W5" s="43"/>
      <c r="X5" s="44" t="s">
        <v>22</v>
      </c>
      <c r="Y5" s="44" t="s">
        <v>25</v>
      </c>
      <c r="Z5" s="44" t="s">
        <v>175</v>
      </c>
      <c r="AA5" s="44" t="s">
        <v>26</v>
      </c>
      <c r="AB5" s="44" t="s">
        <v>27</v>
      </c>
      <c r="AC5" s="44" t="s">
        <v>28</v>
      </c>
      <c r="AD5" s="44" t="s">
        <v>177</v>
      </c>
      <c r="AE5" s="44" t="s">
        <v>178</v>
      </c>
      <c r="AF5" s="44" t="s">
        <v>30</v>
      </c>
      <c r="AG5" s="44" t="s">
        <v>31</v>
      </c>
      <c r="AH5" s="44" t="s">
        <v>388</v>
      </c>
      <c r="AI5" s="44" t="s">
        <v>389</v>
      </c>
      <c r="AJ5" s="43"/>
    </row>
    <row r="6" spans="1:38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3"/>
      <c r="T6" s="44"/>
      <c r="U6" s="44"/>
      <c r="V6" s="44"/>
      <c r="W6" s="43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3"/>
    </row>
    <row r="7" spans="1:38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6"/>
      <c r="T7" s="9" t="s">
        <v>33</v>
      </c>
      <c r="U7" s="9" t="s">
        <v>34</v>
      </c>
      <c r="V7" s="9" t="s">
        <v>35</v>
      </c>
      <c r="W7" s="43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3"/>
    </row>
    <row r="8" spans="1:38" x14ac:dyDescent="0.35">
      <c r="A8" s="4">
        <v>1</v>
      </c>
      <c r="B8" s="4" t="s">
        <v>390</v>
      </c>
      <c r="C8" s="4" t="s">
        <v>391</v>
      </c>
      <c r="D8" s="4">
        <v>4315</v>
      </c>
      <c r="E8" s="4">
        <v>89</v>
      </c>
      <c r="F8" s="4"/>
      <c r="G8" s="4">
        <v>88</v>
      </c>
      <c r="H8" s="4">
        <v>88</v>
      </c>
      <c r="I8" s="4">
        <v>89</v>
      </c>
      <c r="J8" s="4">
        <v>82</v>
      </c>
      <c r="K8" s="4">
        <v>91</v>
      </c>
      <c r="L8" s="4">
        <v>85</v>
      </c>
      <c r="M8" s="16">
        <v>85</v>
      </c>
      <c r="N8" s="4">
        <v>88</v>
      </c>
      <c r="O8" s="4">
        <v>90</v>
      </c>
      <c r="P8" s="4">
        <v>81</v>
      </c>
      <c r="Q8" s="4">
        <v>85</v>
      </c>
      <c r="R8" s="4">
        <v>83</v>
      </c>
      <c r="S8" s="5">
        <f t="shared" ref="S8:S40" si="0">AVERAGE(E8:R8)</f>
        <v>86.461538461538467</v>
      </c>
      <c r="T8" s="4">
        <v>1</v>
      </c>
      <c r="U8" s="4">
        <v>0</v>
      </c>
      <c r="V8" s="4">
        <v>0</v>
      </c>
      <c r="W8" s="17" t="s">
        <v>549</v>
      </c>
      <c r="X8" s="4" t="s">
        <v>38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11"/>
      <c r="AJ8" s="22" t="s">
        <v>545</v>
      </c>
      <c r="AL8" s="18"/>
    </row>
    <row r="9" spans="1:38" x14ac:dyDescent="0.35">
      <c r="A9" s="4">
        <v>2</v>
      </c>
      <c r="B9" s="4" t="s">
        <v>392</v>
      </c>
      <c r="C9" s="4" t="s">
        <v>393</v>
      </c>
      <c r="D9" s="4">
        <v>4319</v>
      </c>
      <c r="E9" s="4">
        <v>81</v>
      </c>
      <c r="F9" s="4"/>
      <c r="G9" s="4">
        <v>84</v>
      </c>
      <c r="H9" s="4">
        <v>82</v>
      </c>
      <c r="I9" s="4">
        <v>75</v>
      </c>
      <c r="J9" s="4">
        <v>80</v>
      </c>
      <c r="K9" s="4">
        <v>89</v>
      </c>
      <c r="L9" s="4">
        <v>79</v>
      </c>
      <c r="M9" s="16">
        <v>87</v>
      </c>
      <c r="N9" s="4">
        <v>85</v>
      </c>
      <c r="O9" s="4">
        <v>79</v>
      </c>
      <c r="P9" s="4">
        <v>81</v>
      </c>
      <c r="Q9" s="4">
        <v>80</v>
      </c>
      <c r="R9" s="4">
        <v>79</v>
      </c>
      <c r="S9" s="5">
        <f t="shared" si="0"/>
        <v>81.615384615384613</v>
      </c>
      <c r="T9" s="4">
        <v>0</v>
      </c>
      <c r="U9" s="4">
        <v>0</v>
      </c>
      <c r="V9" s="4">
        <v>5</v>
      </c>
      <c r="W9" s="17" t="s">
        <v>549</v>
      </c>
      <c r="X9" s="4" t="s">
        <v>38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11"/>
      <c r="AJ9" s="23" t="s">
        <v>545</v>
      </c>
      <c r="AL9" s="18"/>
    </row>
    <row r="10" spans="1:38" x14ac:dyDescent="0.35">
      <c r="A10" s="4">
        <v>3</v>
      </c>
      <c r="B10" s="4" t="s">
        <v>394</v>
      </c>
      <c r="C10" s="4" t="s">
        <v>395</v>
      </c>
      <c r="D10" s="4">
        <v>4322</v>
      </c>
      <c r="E10" s="4">
        <v>86</v>
      </c>
      <c r="F10" s="4"/>
      <c r="G10" s="4">
        <v>84</v>
      </c>
      <c r="H10" s="4">
        <v>81</v>
      </c>
      <c r="I10" s="4">
        <v>74</v>
      </c>
      <c r="J10" s="4">
        <v>80</v>
      </c>
      <c r="K10" s="4">
        <v>88</v>
      </c>
      <c r="L10" s="4">
        <v>79</v>
      </c>
      <c r="M10" s="16">
        <v>93</v>
      </c>
      <c r="N10" s="4">
        <v>85</v>
      </c>
      <c r="O10" s="4">
        <v>78</v>
      </c>
      <c r="P10" s="4">
        <v>81</v>
      </c>
      <c r="Q10" s="4">
        <v>81</v>
      </c>
      <c r="R10" s="4">
        <v>79</v>
      </c>
      <c r="S10" s="5">
        <f t="shared" si="0"/>
        <v>82.230769230769226</v>
      </c>
      <c r="T10" s="4">
        <v>2</v>
      </c>
      <c r="U10" s="4">
        <v>0</v>
      </c>
      <c r="V10" s="4">
        <v>0</v>
      </c>
      <c r="W10" s="17" t="s">
        <v>549</v>
      </c>
      <c r="X10" s="4" t="s">
        <v>38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11"/>
      <c r="AJ10" s="23" t="s">
        <v>545</v>
      </c>
      <c r="AL10" s="18"/>
    </row>
    <row r="11" spans="1:38" x14ac:dyDescent="0.35">
      <c r="A11" s="4">
        <v>4</v>
      </c>
      <c r="B11" s="4" t="s">
        <v>396</v>
      </c>
      <c r="C11" s="4" t="s">
        <v>397</v>
      </c>
      <c r="D11" s="4">
        <v>4324</v>
      </c>
      <c r="E11" s="4">
        <v>84</v>
      </c>
      <c r="F11" s="4"/>
      <c r="G11" s="4">
        <v>87</v>
      </c>
      <c r="H11" s="4">
        <v>83</v>
      </c>
      <c r="I11" s="4">
        <v>82</v>
      </c>
      <c r="J11" s="4">
        <v>80</v>
      </c>
      <c r="K11" s="4">
        <v>88</v>
      </c>
      <c r="L11" s="4">
        <v>80</v>
      </c>
      <c r="M11" s="16">
        <v>86</v>
      </c>
      <c r="N11" s="4">
        <v>87</v>
      </c>
      <c r="O11" s="4">
        <v>79</v>
      </c>
      <c r="P11" s="4">
        <v>81</v>
      </c>
      <c r="Q11" s="4">
        <v>79</v>
      </c>
      <c r="R11" s="4">
        <v>79</v>
      </c>
      <c r="S11" s="5">
        <f t="shared" si="0"/>
        <v>82.692307692307693</v>
      </c>
      <c r="T11" s="4">
        <v>0</v>
      </c>
      <c r="U11" s="4">
        <v>1</v>
      </c>
      <c r="V11" s="4">
        <v>0</v>
      </c>
      <c r="W11" s="17" t="s">
        <v>549</v>
      </c>
      <c r="X11" s="4" t="s">
        <v>38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1"/>
      <c r="AJ11" s="23" t="s">
        <v>545</v>
      </c>
      <c r="AL11" s="18"/>
    </row>
    <row r="12" spans="1:38" x14ac:dyDescent="0.35">
      <c r="A12" s="4">
        <v>5</v>
      </c>
      <c r="B12" s="4" t="s">
        <v>398</v>
      </c>
      <c r="C12" s="4" t="s">
        <v>399</v>
      </c>
      <c r="D12" s="4">
        <v>4330</v>
      </c>
      <c r="E12" s="4">
        <v>88</v>
      </c>
      <c r="F12" s="4"/>
      <c r="G12" s="4">
        <v>88</v>
      </c>
      <c r="H12" s="4">
        <v>87</v>
      </c>
      <c r="I12" s="4">
        <v>81</v>
      </c>
      <c r="J12" s="4">
        <v>85</v>
      </c>
      <c r="K12" s="4">
        <v>88</v>
      </c>
      <c r="L12" s="4">
        <v>88</v>
      </c>
      <c r="M12" s="16">
        <v>88</v>
      </c>
      <c r="N12" s="4">
        <v>88</v>
      </c>
      <c r="O12" s="4">
        <v>83</v>
      </c>
      <c r="P12" s="4">
        <v>81</v>
      </c>
      <c r="Q12" s="4">
        <v>82</v>
      </c>
      <c r="R12" s="4">
        <v>82</v>
      </c>
      <c r="S12" s="5">
        <f t="shared" si="0"/>
        <v>85.307692307692307</v>
      </c>
      <c r="T12" s="4">
        <v>0</v>
      </c>
      <c r="U12" s="4">
        <v>1</v>
      </c>
      <c r="V12" s="4">
        <v>1</v>
      </c>
      <c r="W12" s="17" t="s">
        <v>549</v>
      </c>
      <c r="X12" s="4" t="s">
        <v>43</v>
      </c>
      <c r="Y12" s="4"/>
      <c r="Z12" s="4"/>
      <c r="AA12" s="4"/>
      <c r="AB12" s="4"/>
      <c r="AC12" s="4"/>
      <c r="AD12" s="4"/>
      <c r="AE12" s="4"/>
      <c r="AF12" s="4" t="s">
        <v>43</v>
      </c>
      <c r="AG12" s="4"/>
      <c r="AH12" s="4"/>
      <c r="AI12" s="11"/>
      <c r="AJ12" s="23" t="s">
        <v>545</v>
      </c>
      <c r="AL12" s="18"/>
    </row>
    <row r="13" spans="1:38" x14ac:dyDescent="0.35">
      <c r="A13" s="4">
        <v>6</v>
      </c>
      <c r="B13" s="4" t="s">
        <v>255</v>
      </c>
      <c r="C13" s="4" t="s">
        <v>400</v>
      </c>
      <c r="D13" s="4">
        <v>4333</v>
      </c>
      <c r="E13" s="4">
        <v>87</v>
      </c>
      <c r="F13" s="4"/>
      <c r="G13" s="4">
        <v>85</v>
      </c>
      <c r="H13" s="4">
        <v>87</v>
      </c>
      <c r="I13" s="4">
        <v>74</v>
      </c>
      <c r="J13" s="4">
        <v>81</v>
      </c>
      <c r="K13" s="4">
        <v>89</v>
      </c>
      <c r="L13" s="4">
        <v>85</v>
      </c>
      <c r="M13" s="16">
        <v>83</v>
      </c>
      <c r="N13" s="4">
        <v>86</v>
      </c>
      <c r="O13" s="4">
        <v>79</v>
      </c>
      <c r="P13" s="4">
        <v>81</v>
      </c>
      <c r="Q13" s="4">
        <v>81</v>
      </c>
      <c r="R13" s="4">
        <v>79</v>
      </c>
      <c r="S13" s="5">
        <f t="shared" si="0"/>
        <v>82.84615384615384</v>
      </c>
      <c r="T13" s="4">
        <v>0</v>
      </c>
      <c r="U13" s="4">
        <v>0</v>
      </c>
      <c r="V13" s="4">
        <v>1</v>
      </c>
      <c r="W13" s="17" t="s">
        <v>549</v>
      </c>
      <c r="X13" s="4" t="s">
        <v>38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1"/>
      <c r="AJ13" s="23" t="s">
        <v>545</v>
      </c>
      <c r="AL13" s="18"/>
    </row>
    <row r="14" spans="1:38" x14ac:dyDescent="0.35">
      <c r="A14" s="4">
        <v>7</v>
      </c>
      <c r="B14" s="4" t="s">
        <v>401</v>
      </c>
      <c r="C14" s="4" t="s">
        <v>402</v>
      </c>
      <c r="D14" s="4">
        <v>4340</v>
      </c>
      <c r="E14" s="4">
        <v>86</v>
      </c>
      <c r="F14" s="4"/>
      <c r="G14" s="4">
        <v>89</v>
      </c>
      <c r="H14" s="4">
        <v>89</v>
      </c>
      <c r="I14" s="4">
        <v>90</v>
      </c>
      <c r="J14" s="4">
        <v>88</v>
      </c>
      <c r="K14" s="4">
        <v>88</v>
      </c>
      <c r="L14" s="4">
        <v>85</v>
      </c>
      <c r="M14" s="16">
        <v>80</v>
      </c>
      <c r="N14" s="4">
        <v>86</v>
      </c>
      <c r="O14" s="4">
        <v>83</v>
      </c>
      <c r="P14" s="4">
        <v>83</v>
      </c>
      <c r="Q14" s="4">
        <v>83</v>
      </c>
      <c r="R14" s="4">
        <v>80</v>
      </c>
      <c r="S14" s="5">
        <f t="shared" si="0"/>
        <v>85.384615384615387</v>
      </c>
      <c r="T14" s="4">
        <v>0</v>
      </c>
      <c r="U14" s="4">
        <v>1</v>
      </c>
      <c r="V14" s="4">
        <v>0</v>
      </c>
      <c r="W14" s="17" t="s">
        <v>549</v>
      </c>
      <c r="X14" s="4" t="s">
        <v>38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1"/>
      <c r="AJ14" s="23" t="s">
        <v>545</v>
      </c>
      <c r="AL14" s="18"/>
    </row>
    <row r="15" spans="1:38" x14ac:dyDescent="0.35">
      <c r="A15" s="4">
        <v>8</v>
      </c>
      <c r="B15" s="4" t="s">
        <v>403</v>
      </c>
      <c r="C15" s="4" t="s">
        <v>404</v>
      </c>
      <c r="D15" s="4">
        <v>4344</v>
      </c>
      <c r="E15" s="4">
        <v>91</v>
      </c>
      <c r="F15" s="4"/>
      <c r="G15" s="4">
        <v>88</v>
      </c>
      <c r="H15" s="4">
        <v>82</v>
      </c>
      <c r="I15" s="4">
        <v>86</v>
      </c>
      <c r="J15" s="4">
        <v>84</v>
      </c>
      <c r="K15" s="4">
        <v>89</v>
      </c>
      <c r="L15" s="4">
        <v>85</v>
      </c>
      <c r="M15" s="16">
        <v>90</v>
      </c>
      <c r="N15" s="4">
        <v>89</v>
      </c>
      <c r="O15" s="4">
        <v>82</v>
      </c>
      <c r="P15" s="4">
        <v>83</v>
      </c>
      <c r="Q15" s="4">
        <v>83</v>
      </c>
      <c r="R15" s="4">
        <v>82</v>
      </c>
      <c r="S15" s="5">
        <f t="shared" si="0"/>
        <v>85.692307692307693</v>
      </c>
      <c r="T15" s="4">
        <v>0</v>
      </c>
      <c r="U15" s="4">
        <v>1</v>
      </c>
      <c r="V15" s="4">
        <v>2</v>
      </c>
      <c r="W15" s="17" t="s">
        <v>549</v>
      </c>
      <c r="X15" s="4" t="s">
        <v>38</v>
      </c>
      <c r="Y15" s="4"/>
      <c r="Z15" s="4"/>
      <c r="AA15" s="4"/>
      <c r="AB15" s="4"/>
      <c r="AC15" s="4"/>
      <c r="AD15" s="4"/>
      <c r="AE15" s="4"/>
      <c r="AF15" s="4"/>
      <c r="AG15" s="4" t="s">
        <v>38</v>
      </c>
      <c r="AH15" s="4"/>
      <c r="AI15" s="11"/>
      <c r="AJ15" s="23" t="s">
        <v>545</v>
      </c>
      <c r="AL15" s="18"/>
    </row>
    <row r="16" spans="1:38" x14ac:dyDescent="0.35">
      <c r="A16" s="4">
        <v>9</v>
      </c>
      <c r="B16" s="4" t="s">
        <v>197</v>
      </c>
      <c r="C16" s="4" t="s">
        <v>405</v>
      </c>
      <c r="D16" s="4">
        <v>4355</v>
      </c>
      <c r="E16" s="4">
        <v>84</v>
      </c>
      <c r="F16" s="4"/>
      <c r="G16" s="4">
        <v>89</v>
      </c>
      <c r="H16" s="4">
        <v>83</v>
      </c>
      <c r="I16" s="4">
        <v>83</v>
      </c>
      <c r="J16" s="4">
        <v>83</v>
      </c>
      <c r="K16" s="4">
        <v>88</v>
      </c>
      <c r="L16" s="4">
        <v>78</v>
      </c>
      <c r="M16" s="16">
        <v>90</v>
      </c>
      <c r="N16" s="4">
        <v>87</v>
      </c>
      <c r="O16" s="4">
        <v>84</v>
      </c>
      <c r="P16" s="4">
        <v>83</v>
      </c>
      <c r="Q16" s="4">
        <v>84</v>
      </c>
      <c r="R16" s="4">
        <v>81</v>
      </c>
      <c r="S16" s="5">
        <f t="shared" si="0"/>
        <v>84.384615384615387</v>
      </c>
      <c r="T16" s="4">
        <v>0</v>
      </c>
      <c r="U16" s="4">
        <v>1</v>
      </c>
      <c r="V16" s="4">
        <v>1</v>
      </c>
      <c r="W16" s="17" t="s">
        <v>549</v>
      </c>
      <c r="X16" s="4" t="s">
        <v>38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1"/>
      <c r="AJ16" s="23" t="s">
        <v>545</v>
      </c>
      <c r="AL16" s="18"/>
    </row>
    <row r="17" spans="1:38" x14ac:dyDescent="0.35">
      <c r="A17" s="4">
        <v>10</v>
      </c>
      <c r="B17" s="4" t="s">
        <v>406</v>
      </c>
      <c r="C17" s="4" t="s">
        <v>407</v>
      </c>
      <c r="D17" s="4">
        <v>4363</v>
      </c>
      <c r="E17" s="4">
        <v>89</v>
      </c>
      <c r="F17" s="4"/>
      <c r="G17" s="4">
        <v>90</v>
      </c>
      <c r="H17" s="4">
        <v>90</v>
      </c>
      <c r="I17" s="4">
        <v>87</v>
      </c>
      <c r="J17" s="4">
        <v>86</v>
      </c>
      <c r="K17" s="4">
        <v>89</v>
      </c>
      <c r="L17" s="4">
        <v>92</v>
      </c>
      <c r="M17" s="16">
        <v>93</v>
      </c>
      <c r="N17" s="4">
        <v>88</v>
      </c>
      <c r="O17" s="4">
        <v>84</v>
      </c>
      <c r="P17" s="4">
        <v>84</v>
      </c>
      <c r="Q17" s="4">
        <v>88</v>
      </c>
      <c r="R17" s="4">
        <v>82</v>
      </c>
      <c r="S17" s="5">
        <f t="shared" si="0"/>
        <v>87.84615384615384</v>
      </c>
      <c r="T17" s="4">
        <v>0</v>
      </c>
      <c r="U17" s="4">
        <v>1</v>
      </c>
      <c r="V17" s="4">
        <v>0</v>
      </c>
      <c r="W17" s="17" t="s">
        <v>549</v>
      </c>
      <c r="X17" s="4" t="s">
        <v>38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1"/>
      <c r="AJ17" s="23" t="s">
        <v>545</v>
      </c>
      <c r="AL17" s="18"/>
    </row>
    <row r="18" spans="1:38" x14ac:dyDescent="0.35">
      <c r="A18" s="4">
        <v>11</v>
      </c>
      <c r="B18" s="4" t="s">
        <v>408</v>
      </c>
      <c r="C18" s="4" t="s">
        <v>409</v>
      </c>
      <c r="D18" s="4">
        <v>4367</v>
      </c>
      <c r="E18" s="4">
        <v>83</v>
      </c>
      <c r="F18" s="4"/>
      <c r="G18" s="4">
        <v>90</v>
      </c>
      <c r="H18" s="4">
        <v>90</v>
      </c>
      <c r="I18" s="4">
        <v>80</v>
      </c>
      <c r="J18" s="4">
        <v>85</v>
      </c>
      <c r="K18" s="4">
        <v>90</v>
      </c>
      <c r="L18" s="4">
        <v>88</v>
      </c>
      <c r="M18" s="16">
        <v>90</v>
      </c>
      <c r="N18" s="4">
        <v>88</v>
      </c>
      <c r="O18" s="4">
        <v>78</v>
      </c>
      <c r="P18" s="4">
        <v>84</v>
      </c>
      <c r="Q18" s="4">
        <v>84</v>
      </c>
      <c r="R18" s="4">
        <v>83</v>
      </c>
      <c r="S18" s="5">
        <f t="shared" si="0"/>
        <v>85.615384615384613</v>
      </c>
      <c r="T18" s="4">
        <v>1</v>
      </c>
      <c r="U18" s="4">
        <v>0</v>
      </c>
      <c r="V18" s="4">
        <v>0</v>
      </c>
      <c r="W18" s="17" t="s">
        <v>538</v>
      </c>
      <c r="X18" s="4" t="s">
        <v>43</v>
      </c>
      <c r="Y18" s="4"/>
      <c r="Z18" s="4"/>
      <c r="AA18" s="4"/>
      <c r="AB18" s="4"/>
      <c r="AC18" s="4"/>
      <c r="AD18" s="4" t="s">
        <v>38</v>
      </c>
      <c r="AE18" s="4"/>
      <c r="AF18" s="4" t="s">
        <v>43</v>
      </c>
      <c r="AG18" s="4"/>
      <c r="AH18" s="4"/>
      <c r="AI18" s="11"/>
      <c r="AJ18" s="23" t="s">
        <v>543</v>
      </c>
      <c r="AL18" s="18"/>
    </row>
    <row r="19" spans="1:38" x14ac:dyDescent="0.35">
      <c r="A19" s="4">
        <v>12</v>
      </c>
      <c r="B19" s="4" t="s">
        <v>410</v>
      </c>
      <c r="C19" s="4" t="s">
        <v>411</v>
      </c>
      <c r="D19" s="4">
        <v>4378</v>
      </c>
      <c r="E19" s="4">
        <v>87</v>
      </c>
      <c r="F19" s="4"/>
      <c r="G19" s="4">
        <v>90</v>
      </c>
      <c r="H19" s="4">
        <v>89</v>
      </c>
      <c r="I19" s="4">
        <v>89</v>
      </c>
      <c r="J19" s="4">
        <v>83</v>
      </c>
      <c r="K19" s="4">
        <v>89</v>
      </c>
      <c r="L19" s="4">
        <v>90</v>
      </c>
      <c r="M19" s="16">
        <v>84</v>
      </c>
      <c r="N19" s="4">
        <v>88</v>
      </c>
      <c r="O19" s="4">
        <v>85</v>
      </c>
      <c r="P19" s="4">
        <v>84</v>
      </c>
      <c r="Q19" s="4">
        <v>88</v>
      </c>
      <c r="R19" s="4">
        <v>82</v>
      </c>
      <c r="S19" s="5">
        <f t="shared" si="0"/>
        <v>86.769230769230774</v>
      </c>
      <c r="T19" s="4">
        <v>0</v>
      </c>
      <c r="U19" s="4">
        <v>0</v>
      </c>
      <c r="V19" s="4">
        <v>0</v>
      </c>
      <c r="W19" s="17" t="s">
        <v>538</v>
      </c>
      <c r="X19" s="4" t="s">
        <v>38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11"/>
      <c r="AJ19" s="23" t="s">
        <v>545</v>
      </c>
      <c r="AL19" s="18"/>
    </row>
    <row r="20" spans="1:38" x14ac:dyDescent="0.35">
      <c r="A20" s="4">
        <v>13</v>
      </c>
      <c r="B20" s="4" t="s">
        <v>412</v>
      </c>
      <c r="C20" s="4" t="s">
        <v>413</v>
      </c>
      <c r="D20" s="4">
        <v>4391</v>
      </c>
      <c r="E20" s="4">
        <v>81</v>
      </c>
      <c r="F20" s="4"/>
      <c r="G20" s="4">
        <v>85</v>
      </c>
      <c r="H20" s="4">
        <v>86</v>
      </c>
      <c r="I20" s="4">
        <v>80</v>
      </c>
      <c r="J20" s="4">
        <v>85</v>
      </c>
      <c r="K20" s="4">
        <v>89</v>
      </c>
      <c r="L20" s="4">
        <v>78</v>
      </c>
      <c r="M20" s="16">
        <v>86</v>
      </c>
      <c r="N20" s="4">
        <v>87</v>
      </c>
      <c r="O20" s="4">
        <v>80</v>
      </c>
      <c r="P20" s="4">
        <v>81</v>
      </c>
      <c r="Q20" s="4">
        <v>83</v>
      </c>
      <c r="R20" s="4">
        <v>80</v>
      </c>
      <c r="S20" s="5">
        <f t="shared" si="0"/>
        <v>83.15384615384616</v>
      </c>
      <c r="T20" s="4">
        <v>0</v>
      </c>
      <c r="U20" s="4">
        <v>1</v>
      </c>
      <c r="V20" s="4">
        <v>0</v>
      </c>
      <c r="W20" s="17" t="s">
        <v>549</v>
      </c>
      <c r="X20" s="4" t="s">
        <v>38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11"/>
      <c r="AJ20" s="23" t="s">
        <v>545</v>
      </c>
      <c r="AL20" s="18"/>
    </row>
    <row r="21" spans="1:38" x14ac:dyDescent="0.35">
      <c r="A21" s="4">
        <v>14</v>
      </c>
      <c r="B21" s="4" t="s">
        <v>414</v>
      </c>
      <c r="C21" s="4" t="s">
        <v>415</v>
      </c>
      <c r="D21" s="4">
        <v>4411</v>
      </c>
      <c r="E21" s="4">
        <v>84</v>
      </c>
      <c r="F21" s="4"/>
      <c r="G21" s="4">
        <v>84</v>
      </c>
      <c r="H21" s="4">
        <v>85</v>
      </c>
      <c r="I21" s="4">
        <v>78</v>
      </c>
      <c r="J21" s="4">
        <v>81</v>
      </c>
      <c r="K21" s="4">
        <v>89</v>
      </c>
      <c r="L21" s="4">
        <v>79</v>
      </c>
      <c r="M21" s="16">
        <v>95</v>
      </c>
      <c r="N21" s="4">
        <v>87</v>
      </c>
      <c r="O21" s="4">
        <v>79</v>
      </c>
      <c r="P21" s="4">
        <v>81</v>
      </c>
      <c r="Q21" s="4">
        <v>79</v>
      </c>
      <c r="R21" s="4">
        <v>80</v>
      </c>
      <c r="S21" s="5">
        <f t="shared" si="0"/>
        <v>83.15384615384616</v>
      </c>
      <c r="T21" s="4">
        <v>1</v>
      </c>
      <c r="U21" s="4">
        <v>1</v>
      </c>
      <c r="V21" s="4">
        <v>3</v>
      </c>
      <c r="W21" s="17" t="s">
        <v>549</v>
      </c>
      <c r="X21" s="4" t="s">
        <v>38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1"/>
      <c r="AJ21" s="23" t="s">
        <v>545</v>
      </c>
      <c r="AL21" s="18"/>
    </row>
    <row r="22" spans="1:38" x14ac:dyDescent="0.35">
      <c r="A22" s="4">
        <v>15</v>
      </c>
      <c r="B22" s="4" t="s">
        <v>416</v>
      </c>
      <c r="C22" s="4" t="s">
        <v>417</v>
      </c>
      <c r="D22" s="4">
        <v>4424</v>
      </c>
      <c r="E22" s="4">
        <v>88</v>
      </c>
      <c r="F22" s="4"/>
      <c r="G22" s="4">
        <v>88</v>
      </c>
      <c r="H22" s="4">
        <v>89</v>
      </c>
      <c r="I22" s="4">
        <v>82</v>
      </c>
      <c r="J22" s="4">
        <v>81</v>
      </c>
      <c r="K22" s="4">
        <v>90</v>
      </c>
      <c r="L22" s="4">
        <v>80</v>
      </c>
      <c r="M22" s="16">
        <v>85</v>
      </c>
      <c r="N22" s="4">
        <v>88</v>
      </c>
      <c r="O22" s="4">
        <v>78</v>
      </c>
      <c r="P22" s="4">
        <v>81</v>
      </c>
      <c r="Q22" s="4">
        <v>82</v>
      </c>
      <c r="R22" s="4">
        <v>80</v>
      </c>
      <c r="S22" s="5">
        <f t="shared" si="0"/>
        <v>84</v>
      </c>
      <c r="T22" s="4">
        <v>2</v>
      </c>
      <c r="U22" s="4">
        <v>0</v>
      </c>
      <c r="V22" s="4">
        <v>0</v>
      </c>
      <c r="W22" s="17" t="s">
        <v>549</v>
      </c>
      <c r="X22" s="4" t="s">
        <v>38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11"/>
      <c r="AJ22" s="23" t="s">
        <v>545</v>
      </c>
      <c r="AL22" s="18"/>
    </row>
    <row r="23" spans="1:38" x14ac:dyDescent="0.35">
      <c r="A23" s="4">
        <v>16</v>
      </c>
      <c r="B23" s="4" t="s">
        <v>418</v>
      </c>
      <c r="C23" s="4" t="s">
        <v>419</v>
      </c>
      <c r="D23" s="4">
        <v>4432</v>
      </c>
      <c r="E23" s="4"/>
      <c r="F23" s="4">
        <v>90</v>
      </c>
      <c r="G23" s="4">
        <v>90</v>
      </c>
      <c r="H23" s="4">
        <v>88</v>
      </c>
      <c r="I23" s="4">
        <v>90</v>
      </c>
      <c r="J23" s="4">
        <v>83</v>
      </c>
      <c r="K23" s="4">
        <v>88</v>
      </c>
      <c r="L23" s="4">
        <v>86</v>
      </c>
      <c r="M23" s="16">
        <v>86</v>
      </c>
      <c r="N23" s="4">
        <v>88</v>
      </c>
      <c r="O23" s="4">
        <v>85</v>
      </c>
      <c r="P23" s="4">
        <v>86</v>
      </c>
      <c r="Q23" s="4">
        <v>86</v>
      </c>
      <c r="R23" s="4">
        <v>83</v>
      </c>
      <c r="S23" s="5">
        <f t="shared" si="0"/>
        <v>86.84615384615384</v>
      </c>
      <c r="T23" s="4">
        <v>0</v>
      </c>
      <c r="U23" s="4">
        <v>0</v>
      </c>
      <c r="V23" s="4">
        <v>0</v>
      </c>
      <c r="W23" s="17" t="s">
        <v>538</v>
      </c>
      <c r="X23" s="4" t="s">
        <v>38</v>
      </c>
      <c r="Y23" s="4"/>
      <c r="Z23" s="4"/>
      <c r="AA23" s="4"/>
      <c r="AB23" s="4"/>
      <c r="AC23" s="4"/>
      <c r="AD23" s="4"/>
      <c r="AE23" s="4"/>
      <c r="AF23" s="4" t="s">
        <v>43</v>
      </c>
      <c r="AG23" s="4"/>
      <c r="AH23" s="4"/>
      <c r="AI23" s="11"/>
      <c r="AJ23" s="23" t="s">
        <v>545</v>
      </c>
      <c r="AL23" s="18"/>
    </row>
    <row r="24" spans="1:38" x14ac:dyDescent="0.35">
      <c r="A24" s="4">
        <v>17</v>
      </c>
      <c r="B24" s="4" t="s">
        <v>420</v>
      </c>
      <c r="C24" s="4" t="s">
        <v>421</v>
      </c>
      <c r="D24" s="4">
        <v>4440</v>
      </c>
      <c r="E24" s="4">
        <v>86</v>
      </c>
      <c r="F24" s="4"/>
      <c r="G24" s="4">
        <v>85</v>
      </c>
      <c r="H24" s="4">
        <v>86</v>
      </c>
      <c r="I24" s="4">
        <v>78</v>
      </c>
      <c r="J24" s="4">
        <v>78</v>
      </c>
      <c r="K24" s="4">
        <v>89</v>
      </c>
      <c r="L24" s="4">
        <v>79</v>
      </c>
      <c r="M24" s="16">
        <v>85</v>
      </c>
      <c r="N24" s="4">
        <v>87</v>
      </c>
      <c r="O24" s="4">
        <v>77</v>
      </c>
      <c r="P24" s="4">
        <v>80</v>
      </c>
      <c r="Q24" s="4">
        <v>81</v>
      </c>
      <c r="R24" s="4">
        <v>80</v>
      </c>
      <c r="S24" s="5">
        <f t="shared" si="0"/>
        <v>82.384615384615387</v>
      </c>
      <c r="T24" s="4">
        <v>0</v>
      </c>
      <c r="U24" s="4">
        <v>1</v>
      </c>
      <c r="V24" s="4">
        <v>5</v>
      </c>
      <c r="W24" s="17" t="s">
        <v>549</v>
      </c>
      <c r="X24" s="4" t="s">
        <v>38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1"/>
      <c r="AJ24" s="23" t="s">
        <v>545</v>
      </c>
      <c r="AL24" s="18"/>
    </row>
    <row r="25" spans="1:38" x14ac:dyDescent="0.35">
      <c r="A25" s="4">
        <v>18</v>
      </c>
      <c r="B25" s="4" t="s">
        <v>422</v>
      </c>
      <c r="C25" s="4" t="s">
        <v>423</v>
      </c>
      <c r="D25" s="4">
        <v>4447</v>
      </c>
      <c r="E25" s="4">
        <v>86</v>
      </c>
      <c r="F25" s="4"/>
      <c r="G25" s="4">
        <v>89</v>
      </c>
      <c r="H25" s="4">
        <v>91</v>
      </c>
      <c r="I25" s="4">
        <v>81</v>
      </c>
      <c r="J25" s="4">
        <v>85</v>
      </c>
      <c r="K25" s="4">
        <v>86</v>
      </c>
      <c r="L25" s="4">
        <v>87</v>
      </c>
      <c r="M25" s="16">
        <v>83</v>
      </c>
      <c r="N25" s="4">
        <v>88</v>
      </c>
      <c r="O25" s="4">
        <v>82</v>
      </c>
      <c r="P25" s="4">
        <v>82</v>
      </c>
      <c r="Q25" s="4">
        <v>84</v>
      </c>
      <c r="R25" s="4">
        <v>82</v>
      </c>
      <c r="S25" s="5">
        <f t="shared" si="0"/>
        <v>85.07692307692308</v>
      </c>
      <c r="T25" s="4">
        <v>0</v>
      </c>
      <c r="U25" s="4">
        <v>1</v>
      </c>
      <c r="V25" s="4">
        <v>0</v>
      </c>
      <c r="W25" s="17" t="s">
        <v>549</v>
      </c>
      <c r="X25" s="4" t="s">
        <v>43</v>
      </c>
      <c r="Y25" s="4"/>
      <c r="Z25" s="4"/>
      <c r="AA25" s="4"/>
      <c r="AB25" s="4"/>
      <c r="AC25" s="4"/>
      <c r="AD25" s="4"/>
      <c r="AE25" s="4"/>
      <c r="AF25" s="4" t="s">
        <v>43</v>
      </c>
      <c r="AG25" s="4"/>
      <c r="AH25" s="4"/>
      <c r="AI25" s="11"/>
      <c r="AJ25" s="23" t="s">
        <v>545</v>
      </c>
      <c r="AL25" s="18"/>
    </row>
    <row r="26" spans="1:38" x14ac:dyDescent="0.35">
      <c r="A26" s="4">
        <v>19</v>
      </c>
      <c r="B26" s="4" t="s">
        <v>424</v>
      </c>
      <c r="C26" s="4" t="s">
        <v>425</v>
      </c>
      <c r="D26" s="4">
        <v>4444</v>
      </c>
      <c r="E26" s="4">
        <v>87</v>
      </c>
      <c r="F26" s="4"/>
      <c r="G26" s="4">
        <v>84</v>
      </c>
      <c r="H26" s="4">
        <v>82</v>
      </c>
      <c r="I26" s="4">
        <v>78</v>
      </c>
      <c r="J26" s="4">
        <v>81</v>
      </c>
      <c r="K26" s="4">
        <v>87</v>
      </c>
      <c r="L26" s="4">
        <v>79</v>
      </c>
      <c r="M26" s="16">
        <v>87</v>
      </c>
      <c r="N26" s="4">
        <v>84</v>
      </c>
      <c r="O26" s="4">
        <v>81</v>
      </c>
      <c r="P26" s="4">
        <v>81</v>
      </c>
      <c r="Q26" s="4">
        <v>79</v>
      </c>
      <c r="R26" s="4">
        <v>79</v>
      </c>
      <c r="S26" s="5">
        <f t="shared" si="0"/>
        <v>82.230769230769226</v>
      </c>
      <c r="T26" s="4">
        <v>0</v>
      </c>
      <c r="U26" s="4">
        <v>0</v>
      </c>
      <c r="V26" s="4">
        <v>7</v>
      </c>
      <c r="W26" s="17" t="s">
        <v>549</v>
      </c>
      <c r="X26" s="4" t="s">
        <v>38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11"/>
      <c r="AJ26" s="23" t="s">
        <v>545</v>
      </c>
      <c r="AL26" s="18"/>
    </row>
    <row r="27" spans="1:38" x14ac:dyDescent="0.35">
      <c r="A27" s="4">
        <v>20</v>
      </c>
      <c r="B27" s="4" t="s">
        <v>426</v>
      </c>
      <c r="C27" s="4" t="s">
        <v>427</v>
      </c>
      <c r="D27" s="4">
        <v>4452</v>
      </c>
      <c r="E27" s="4">
        <v>82</v>
      </c>
      <c r="F27" s="4"/>
      <c r="G27" s="4">
        <v>82</v>
      </c>
      <c r="H27" s="4">
        <v>83</v>
      </c>
      <c r="I27" s="4">
        <v>73</v>
      </c>
      <c r="J27" s="4">
        <v>78</v>
      </c>
      <c r="K27" s="4">
        <v>89</v>
      </c>
      <c r="L27" s="4">
        <v>78</v>
      </c>
      <c r="M27" s="16">
        <v>87</v>
      </c>
      <c r="N27" s="4">
        <v>81</v>
      </c>
      <c r="O27" s="4">
        <v>86</v>
      </c>
      <c r="P27" s="4">
        <v>80</v>
      </c>
      <c r="Q27" s="4">
        <v>78</v>
      </c>
      <c r="R27" s="4">
        <v>79</v>
      </c>
      <c r="S27" s="5">
        <f t="shared" si="0"/>
        <v>81.230769230769226</v>
      </c>
      <c r="T27" s="4">
        <v>0</v>
      </c>
      <c r="U27" s="4">
        <v>0</v>
      </c>
      <c r="V27" s="4">
        <v>7</v>
      </c>
      <c r="W27" s="17" t="s">
        <v>549</v>
      </c>
      <c r="X27" s="4" t="s">
        <v>38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11"/>
      <c r="AJ27" s="23" t="s">
        <v>545</v>
      </c>
      <c r="AL27" s="18"/>
    </row>
    <row r="28" spans="1:38" x14ac:dyDescent="0.35">
      <c r="A28" s="4">
        <v>21</v>
      </c>
      <c r="B28" s="4" t="s">
        <v>428</v>
      </c>
      <c r="C28" s="4" t="s">
        <v>429</v>
      </c>
      <c r="D28" s="4">
        <v>4904</v>
      </c>
      <c r="E28" s="4">
        <v>80</v>
      </c>
      <c r="F28" s="4"/>
      <c r="G28" s="4">
        <v>90</v>
      </c>
      <c r="H28" s="4">
        <v>80</v>
      </c>
      <c r="I28" s="4">
        <v>93</v>
      </c>
      <c r="J28" s="4">
        <v>85</v>
      </c>
      <c r="K28" s="4">
        <v>89</v>
      </c>
      <c r="L28" s="4">
        <v>90</v>
      </c>
      <c r="M28" s="16">
        <v>88</v>
      </c>
      <c r="N28" s="4">
        <v>87</v>
      </c>
      <c r="O28" s="4">
        <v>80</v>
      </c>
      <c r="P28" s="4">
        <v>83</v>
      </c>
      <c r="Q28" s="4">
        <v>84</v>
      </c>
      <c r="R28" s="10"/>
      <c r="S28" s="5">
        <f t="shared" si="0"/>
        <v>85.75</v>
      </c>
      <c r="T28" s="4">
        <v>1</v>
      </c>
      <c r="U28" s="4">
        <v>0</v>
      </c>
      <c r="V28" s="4">
        <v>0</v>
      </c>
      <c r="W28" s="17" t="s">
        <v>550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1"/>
      <c r="AJ28" s="23" t="s">
        <v>545</v>
      </c>
      <c r="AL28" s="18"/>
    </row>
    <row r="29" spans="1:38" x14ac:dyDescent="0.35">
      <c r="A29" s="4">
        <v>22</v>
      </c>
      <c r="B29" s="4" t="s">
        <v>430</v>
      </c>
      <c r="C29" s="4" t="s">
        <v>431</v>
      </c>
      <c r="D29" s="4">
        <v>4466</v>
      </c>
      <c r="E29" s="4">
        <v>84</v>
      </c>
      <c r="F29" s="4"/>
      <c r="G29" s="4">
        <v>86</v>
      </c>
      <c r="H29" s="4">
        <v>82</v>
      </c>
      <c r="I29" s="4">
        <v>72</v>
      </c>
      <c r="J29" s="4">
        <v>79</v>
      </c>
      <c r="K29" s="4">
        <v>89</v>
      </c>
      <c r="L29" s="4">
        <v>80</v>
      </c>
      <c r="M29" s="16">
        <v>87</v>
      </c>
      <c r="N29" s="4">
        <v>87</v>
      </c>
      <c r="O29" s="4">
        <v>81</v>
      </c>
      <c r="P29" s="4">
        <v>79</v>
      </c>
      <c r="Q29" s="4">
        <v>81</v>
      </c>
      <c r="R29" s="4">
        <v>79</v>
      </c>
      <c r="S29" s="5">
        <f t="shared" si="0"/>
        <v>82</v>
      </c>
      <c r="T29" s="4">
        <v>0</v>
      </c>
      <c r="U29" s="4">
        <v>1</v>
      </c>
      <c r="V29" s="4">
        <v>5</v>
      </c>
      <c r="W29" s="17" t="s">
        <v>549</v>
      </c>
      <c r="X29" s="4" t="s">
        <v>38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11"/>
      <c r="AJ29" s="23" t="s">
        <v>545</v>
      </c>
      <c r="AL29" s="18"/>
    </row>
    <row r="30" spans="1:38" x14ac:dyDescent="0.35">
      <c r="A30" s="4">
        <v>23</v>
      </c>
      <c r="B30" s="4" t="s">
        <v>432</v>
      </c>
      <c r="C30" s="4" t="s">
        <v>433</v>
      </c>
      <c r="D30" s="4">
        <v>4469</v>
      </c>
      <c r="E30" s="4">
        <v>90</v>
      </c>
      <c r="F30" s="4"/>
      <c r="G30" s="4">
        <v>92</v>
      </c>
      <c r="H30" s="4">
        <v>91</v>
      </c>
      <c r="I30" s="4">
        <v>93</v>
      </c>
      <c r="J30" s="4">
        <v>87</v>
      </c>
      <c r="K30" s="4">
        <v>89</v>
      </c>
      <c r="L30" s="4">
        <v>93</v>
      </c>
      <c r="M30" s="16">
        <v>87</v>
      </c>
      <c r="N30" s="4">
        <v>89</v>
      </c>
      <c r="O30" s="4">
        <v>90</v>
      </c>
      <c r="P30" s="4">
        <v>84</v>
      </c>
      <c r="Q30" s="4">
        <v>88</v>
      </c>
      <c r="R30" s="4">
        <v>83</v>
      </c>
      <c r="S30" s="5">
        <f t="shared" si="0"/>
        <v>88.92307692307692</v>
      </c>
      <c r="T30" s="4">
        <v>0</v>
      </c>
      <c r="U30" s="4">
        <v>2</v>
      </c>
      <c r="V30" s="4">
        <v>0</v>
      </c>
      <c r="W30" s="17" t="s">
        <v>538</v>
      </c>
      <c r="X30" s="4" t="s">
        <v>38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1"/>
      <c r="AJ30" s="23" t="s">
        <v>545</v>
      </c>
      <c r="AL30" s="18"/>
    </row>
    <row r="31" spans="1:38" x14ac:dyDescent="0.35">
      <c r="A31" s="4">
        <v>24</v>
      </c>
      <c r="B31" s="4" t="s">
        <v>434</v>
      </c>
      <c r="C31" s="4" t="s">
        <v>435</v>
      </c>
      <c r="D31" s="4">
        <v>4479</v>
      </c>
      <c r="E31" s="4">
        <v>90</v>
      </c>
      <c r="F31" s="4"/>
      <c r="G31" s="4">
        <v>90</v>
      </c>
      <c r="H31" s="4">
        <v>89</v>
      </c>
      <c r="I31" s="4">
        <v>81</v>
      </c>
      <c r="J31" s="4">
        <v>88</v>
      </c>
      <c r="K31" s="4">
        <v>88</v>
      </c>
      <c r="L31" s="4">
        <v>90</v>
      </c>
      <c r="M31" s="16">
        <v>87</v>
      </c>
      <c r="N31" s="4">
        <v>88</v>
      </c>
      <c r="O31" s="4">
        <v>86</v>
      </c>
      <c r="P31" s="4">
        <v>84</v>
      </c>
      <c r="Q31" s="4">
        <v>84</v>
      </c>
      <c r="R31" s="4">
        <v>81</v>
      </c>
      <c r="S31" s="5">
        <f t="shared" si="0"/>
        <v>86.615384615384613</v>
      </c>
      <c r="T31" s="4">
        <v>0</v>
      </c>
      <c r="U31" s="4">
        <v>0</v>
      </c>
      <c r="V31" s="4">
        <v>0</v>
      </c>
      <c r="W31" s="17" t="s">
        <v>549</v>
      </c>
      <c r="X31" s="4" t="s">
        <v>38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1"/>
      <c r="AJ31" s="23" t="s">
        <v>545</v>
      </c>
      <c r="AL31" s="18"/>
    </row>
    <row r="32" spans="1:38" x14ac:dyDescent="0.35">
      <c r="A32" s="4">
        <v>25</v>
      </c>
      <c r="B32" s="4" t="s">
        <v>436</v>
      </c>
      <c r="C32" s="4" t="s">
        <v>437</v>
      </c>
      <c r="D32" s="4">
        <v>4486</v>
      </c>
      <c r="E32" s="4">
        <v>87</v>
      </c>
      <c r="F32" s="4"/>
      <c r="G32" s="4">
        <v>90</v>
      </c>
      <c r="H32" s="4">
        <v>87</v>
      </c>
      <c r="I32" s="4">
        <v>83</v>
      </c>
      <c r="J32" s="4">
        <v>88</v>
      </c>
      <c r="K32" s="4">
        <v>89</v>
      </c>
      <c r="L32" s="4">
        <v>87</v>
      </c>
      <c r="M32" s="16">
        <v>86</v>
      </c>
      <c r="N32" s="4">
        <v>86</v>
      </c>
      <c r="O32" s="4">
        <v>87</v>
      </c>
      <c r="P32" s="4">
        <v>82</v>
      </c>
      <c r="Q32" s="4">
        <v>84</v>
      </c>
      <c r="R32" s="4">
        <v>82</v>
      </c>
      <c r="S32" s="5">
        <f t="shared" si="0"/>
        <v>86</v>
      </c>
      <c r="T32" s="4">
        <v>1</v>
      </c>
      <c r="U32" s="4">
        <v>1</v>
      </c>
      <c r="V32" s="4">
        <v>3</v>
      </c>
      <c r="W32" s="17" t="s">
        <v>549</v>
      </c>
      <c r="X32" s="4" t="s">
        <v>38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11"/>
      <c r="AJ32" s="23" t="s">
        <v>545</v>
      </c>
      <c r="AL32" s="18"/>
    </row>
    <row r="33" spans="1:38" x14ac:dyDescent="0.35">
      <c r="A33" s="4">
        <v>26</v>
      </c>
      <c r="B33" s="4" t="s">
        <v>438</v>
      </c>
      <c r="C33" s="4" t="s">
        <v>439</v>
      </c>
      <c r="D33" s="4">
        <v>4490</v>
      </c>
      <c r="E33" s="4">
        <v>88</v>
      </c>
      <c r="F33" s="4"/>
      <c r="G33" s="4">
        <v>90</v>
      </c>
      <c r="H33" s="4">
        <v>89</v>
      </c>
      <c r="I33" s="4">
        <v>85</v>
      </c>
      <c r="J33" s="4">
        <v>90</v>
      </c>
      <c r="K33" s="4">
        <v>89</v>
      </c>
      <c r="L33" s="4">
        <v>90</v>
      </c>
      <c r="M33" s="16">
        <v>89</v>
      </c>
      <c r="N33" s="4">
        <v>87</v>
      </c>
      <c r="O33" s="4">
        <v>87</v>
      </c>
      <c r="P33" s="4">
        <v>85</v>
      </c>
      <c r="Q33" s="4">
        <v>85</v>
      </c>
      <c r="R33" s="4">
        <v>80</v>
      </c>
      <c r="S33" s="5">
        <f t="shared" si="0"/>
        <v>87.230769230769226</v>
      </c>
      <c r="T33" s="4">
        <v>0</v>
      </c>
      <c r="U33" s="4">
        <v>1</v>
      </c>
      <c r="V33" s="4">
        <v>2</v>
      </c>
      <c r="W33" s="17" t="s">
        <v>549</v>
      </c>
      <c r="X33" s="4" t="s">
        <v>38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1"/>
      <c r="AJ33" s="23" t="s">
        <v>545</v>
      </c>
      <c r="AL33" s="18"/>
    </row>
    <row r="34" spans="1:38" x14ac:dyDescent="0.35">
      <c r="A34" s="4">
        <v>27</v>
      </c>
      <c r="B34" s="4" t="s">
        <v>440</v>
      </c>
      <c r="C34" s="4" t="s">
        <v>441</v>
      </c>
      <c r="D34" s="4">
        <v>4494</v>
      </c>
      <c r="E34" s="4">
        <v>81</v>
      </c>
      <c r="F34" s="4"/>
      <c r="G34" s="4">
        <v>90</v>
      </c>
      <c r="H34" s="4">
        <v>88</v>
      </c>
      <c r="I34" s="4">
        <v>85</v>
      </c>
      <c r="J34" s="4">
        <v>83</v>
      </c>
      <c r="K34" s="4">
        <v>88</v>
      </c>
      <c r="L34" s="4">
        <v>89</v>
      </c>
      <c r="M34" s="16">
        <v>87</v>
      </c>
      <c r="N34" s="4">
        <v>86</v>
      </c>
      <c r="O34" s="4">
        <v>88</v>
      </c>
      <c r="P34" s="4">
        <v>84</v>
      </c>
      <c r="Q34" s="4">
        <v>82</v>
      </c>
      <c r="R34" s="4">
        <v>80</v>
      </c>
      <c r="S34" s="5">
        <f t="shared" si="0"/>
        <v>85.461538461538467</v>
      </c>
      <c r="T34" s="4">
        <v>0</v>
      </c>
      <c r="U34" s="4">
        <v>1</v>
      </c>
      <c r="V34" s="4">
        <v>2</v>
      </c>
      <c r="W34" s="17" t="s">
        <v>549</v>
      </c>
      <c r="X34" s="4" t="s">
        <v>38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11"/>
      <c r="AJ34" s="23" t="s">
        <v>545</v>
      </c>
      <c r="AL34" s="18"/>
    </row>
    <row r="35" spans="1:38" x14ac:dyDescent="0.35">
      <c r="A35" s="4">
        <v>28</v>
      </c>
      <c r="B35" s="4" t="s">
        <v>442</v>
      </c>
      <c r="C35" s="4" t="s">
        <v>443</v>
      </c>
      <c r="D35" s="4">
        <v>4503</v>
      </c>
      <c r="E35" s="4">
        <v>90</v>
      </c>
      <c r="F35" s="4"/>
      <c r="G35" s="4">
        <v>91</v>
      </c>
      <c r="H35" s="4">
        <v>92</v>
      </c>
      <c r="I35" s="4">
        <v>90</v>
      </c>
      <c r="J35" s="4">
        <v>90</v>
      </c>
      <c r="K35" s="4">
        <v>90</v>
      </c>
      <c r="L35" s="4">
        <v>94</v>
      </c>
      <c r="M35" s="16">
        <v>87</v>
      </c>
      <c r="N35" s="4">
        <v>90</v>
      </c>
      <c r="O35" s="4">
        <v>89</v>
      </c>
      <c r="P35" s="4">
        <v>88</v>
      </c>
      <c r="Q35" s="4">
        <v>88</v>
      </c>
      <c r="R35" s="4">
        <v>84</v>
      </c>
      <c r="S35" s="5">
        <f t="shared" si="0"/>
        <v>89.461538461538467</v>
      </c>
      <c r="T35" s="4">
        <v>0</v>
      </c>
      <c r="U35" s="4">
        <v>1</v>
      </c>
      <c r="V35" s="4">
        <v>0</v>
      </c>
      <c r="W35" s="17" t="s">
        <v>538</v>
      </c>
      <c r="X35" s="4" t="s">
        <v>38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1"/>
      <c r="AJ35" s="23" t="s">
        <v>543</v>
      </c>
      <c r="AL35" s="18"/>
    </row>
    <row r="36" spans="1:38" x14ac:dyDescent="0.35">
      <c r="A36" s="4">
        <v>29</v>
      </c>
      <c r="B36" s="4" t="s">
        <v>444</v>
      </c>
      <c r="C36" s="4" t="s">
        <v>445</v>
      </c>
      <c r="D36" s="4">
        <v>4515</v>
      </c>
      <c r="E36" s="4">
        <v>93</v>
      </c>
      <c r="F36" s="4"/>
      <c r="G36" s="4">
        <v>93</v>
      </c>
      <c r="H36" s="4">
        <v>92</v>
      </c>
      <c r="I36" s="4">
        <v>98</v>
      </c>
      <c r="J36" s="4">
        <v>92</v>
      </c>
      <c r="K36" s="4">
        <v>88</v>
      </c>
      <c r="L36" s="4">
        <v>95</v>
      </c>
      <c r="M36" s="16">
        <v>85</v>
      </c>
      <c r="N36" s="4">
        <v>90</v>
      </c>
      <c r="O36" s="4">
        <v>91</v>
      </c>
      <c r="P36" s="4">
        <v>91</v>
      </c>
      <c r="Q36" s="4">
        <v>90</v>
      </c>
      <c r="R36" s="4">
        <v>88</v>
      </c>
      <c r="S36" s="5">
        <f t="shared" si="0"/>
        <v>91.230769230769226</v>
      </c>
      <c r="T36" s="4">
        <v>0</v>
      </c>
      <c r="U36" s="4">
        <v>1</v>
      </c>
      <c r="V36" s="4">
        <v>0</v>
      </c>
      <c r="W36" s="17" t="s">
        <v>538</v>
      </c>
      <c r="X36" s="4" t="s">
        <v>38</v>
      </c>
      <c r="Y36" s="4" t="s">
        <v>43</v>
      </c>
      <c r="Z36" s="4"/>
      <c r="AA36" s="4"/>
      <c r="AB36" s="4"/>
      <c r="AC36" s="4"/>
      <c r="AD36" s="4"/>
      <c r="AE36" s="4"/>
      <c r="AF36" s="4" t="s">
        <v>43</v>
      </c>
      <c r="AG36" s="4"/>
      <c r="AH36" s="4" t="s">
        <v>38</v>
      </c>
      <c r="AI36" s="11"/>
      <c r="AJ36" s="23" t="s">
        <v>543</v>
      </c>
      <c r="AL36" s="18"/>
    </row>
    <row r="37" spans="1:38" x14ac:dyDescent="0.35">
      <c r="A37" s="4">
        <v>30</v>
      </c>
      <c r="B37" s="4" t="s">
        <v>446</v>
      </c>
      <c r="C37" s="4" t="s">
        <v>447</v>
      </c>
      <c r="D37" s="4">
        <v>4521</v>
      </c>
      <c r="E37" s="4">
        <v>81</v>
      </c>
      <c r="F37" s="4"/>
      <c r="G37" s="4">
        <v>83</v>
      </c>
      <c r="H37" s="4">
        <v>85</v>
      </c>
      <c r="I37" s="4">
        <v>72</v>
      </c>
      <c r="J37" s="4">
        <v>78</v>
      </c>
      <c r="K37" s="4">
        <v>89</v>
      </c>
      <c r="L37" s="4">
        <v>79</v>
      </c>
      <c r="M37" s="16">
        <v>86</v>
      </c>
      <c r="N37" s="4">
        <v>87</v>
      </c>
      <c r="O37" s="4">
        <v>77</v>
      </c>
      <c r="P37" s="4">
        <v>80</v>
      </c>
      <c r="Q37" s="4">
        <v>80</v>
      </c>
      <c r="R37" s="4">
        <v>79</v>
      </c>
      <c r="S37" s="5">
        <f t="shared" si="0"/>
        <v>81.230769230769226</v>
      </c>
      <c r="T37" s="4">
        <v>0</v>
      </c>
      <c r="U37" s="4">
        <v>0</v>
      </c>
      <c r="V37" s="4">
        <v>7</v>
      </c>
      <c r="W37" s="17" t="s">
        <v>549</v>
      </c>
      <c r="X37" s="4" t="s">
        <v>38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11"/>
      <c r="AJ37" s="23" t="s">
        <v>545</v>
      </c>
      <c r="AL37" s="18"/>
    </row>
    <row r="38" spans="1:38" x14ac:dyDescent="0.35">
      <c r="A38" s="4">
        <v>31</v>
      </c>
      <c r="B38" s="4" t="s">
        <v>448</v>
      </c>
      <c r="C38" s="4" t="s">
        <v>449</v>
      </c>
      <c r="D38" s="4">
        <v>4532</v>
      </c>
      <c r="E38" s="4">
        <v>86</v>
      </c>
      <c r="F38" s="4"/>
      <c r="G38" s="4">
        <v>90</v>
      </c>
      <c r="H38" s="4">
        <v>87</v>
      </c>
      <c r="I38" s="4">
        <v>85</v>
      </c>
      <c r="J38" s="4">
        <v>83</v>
      </c>
      <c r="K38" s="4">
        <v>91</v>
      </c>
      <c r="L38" s="4">
        <v>80</v>
      </c>
      <c r="M38" s="16">
        <v>86</v>
      </c>
      <c r="N38" s="4">
        <v>87</v>
      </c>
      <c r="O38" s="4">
        <v>88</v>
      </c>
      <c r="P38" s="4">
        <v>84</v>
      </c>
      <c r="Q38" s="4">
        <v>83</v>
      </c>
      <c r="R38" s="4">
        <v>80</v>
      </c>
      <c r="S38" s="5">
        <f t="shared" si="0"/>
        <v>85.384615384615387</v>
      </c>
      <c r="T38" s="4">
        <v>0</v>
      </c>
      <c r="U38" s="4">
        <v>0</v>
      </c>
      <c r="V38" s="4">
        <v>3</v>
      </c>
      <c r="W38" s="17" t="s">
        <v>549</v>
      </c>
      <c r="X38" s="4" t="s">
        <v>38</v>
      </c>
      <c r="Y38" s="4"/>
      <c r="Z38" s="4"/>
      <c r="AA38" s="4"/>
      <c r="AB38" s="4"/>
      <c r="AC38" s="4"/>
      <c r="AD38" s="4"/>
      <c r="AE38" s="4" t="s">
        <v>38</v>
      </c>
      <c r="AF38" s="4"/>
      <c r="AG38" s="4"/>
      <c r="AH38" s="4"/>
      <c r="AI38" s="11" t="s">
        <v>43</v>
      </c>
      <c r="AJ38" s="23" t="s">
        <v>544</v>
      </c>
      <c r="AL38" s="18"/>
    </row>
    <row r="39" spans="1:38" x14ac:dyDescent="0.35">
      <c r="A39" s="4">
        <v>32</v>
      </c>
      <c r="B39" s="4" t="s">
        <v>450</v>
      </c>
      <c r="C39" s="4" t="s">
        <v>451</v>
      </c>
      <c r="D39" s="4">
        <v>4536</v>
      </c>
      <c r="E39" s="4">
        <v>90</v>
      </c>
      <c r="F39" s="4"/>
      <c r="G39" s="4">
        <v>91</v>
      </c>
      <c r="H39" s="4">
        <v>89</v>
      </c>
      <c r="I39" s="4">
        <v>90</v>
      </c>
      <c r="J39" s="4">
        <v>91</v>
      </c>
      <c r="K39" s="4">
        <v>91</v>
      </c>
      <c r="L39" s="4">
        <v>90</v>
      </c>
      <c r="M39" s="16">
        <v>82</v>
      </c>
      <c r="N39" s="4">
        <v>90</v>
      </c>
      <c r="O39" s="4">
        <v>89</v>
      </c>
      <c r="P39" s="4">
        <v>87</v>
      </c>
      <c r="Q39" s="4">
        <v>85</v>
      </c>
      <c r="R39" s="4">
        <v>83</v>
      </c>
      <c r="S39" s="5">
        <f t="shared" si="0"/>
        <v>88.307692307692307</v>
      </c>
      <c r="T39" s="4">
        <v>1</v>
      </c>
      <c r="U39" s="4">
        <v>3</v>
      </c>
      <c r="V39" s="4">
        <v>0</v>
      </c>
      <c r="W39" s="17" t="s">
        <v>538</v>
      </c>
      <c r="X39" s="4" t="s">
        <v>38</v>
      </c>
      <c r="Y39" s="4"/>
      <c r="Z39" s="4" t="s">
        <v>38</v>
      </c>
      <c r="AA39" s="4" t="s">
        <v>43</v>
      </c>
      <c r="AB39" s="4" t="s">
        <v>43</v>
      </c>
      <c r="AC39" s="4"/>
      <c r="AD39" s="4"/>
      <c r="AE39" s="4"/>
      <c r="AF39" s="4"/>
      <c r="AG39" s="4"/>
      <c r="AH39" s="4"/>
      <c r="AI39" s="11"/>
      <c r="AJ39" s="23" t="s">
        <v>544</v>
      </c>
      <c r="AL39" s="18"/>
    </row>
    <row r="40" spans="1:38" x14ac:dyDescent="0.35">
      <c r="A40" s="4">
        <v>33</v>
      </c>
      <c r="B40" s="4" t="s">
        <v>452</v>
      </c>
      <c r="C40" s="4" t="s">
        <v>453</v>
      </c>
      <c r="D40" s="4">
        <v>4543</v>
      </c>
      <c r="E40" s="4">
        <v>90</v>
      </c>
      <c r="F40" s="4"/>
      <c r="G40" s="4">
        <v>92</v>
      </c>
      <c r="H40" s="4">
        <v>93</v>
      </c>
      <c r="I40" s="4">
        <v>94</v>
      </c>
      <c r="J40" s="4">
        <v>91</v>
      </c>
      <c r="K40" s="4">
        <v>91</v>
      </c>
      <c r="L40" s="4">
        <v>95</v>
      </c>
      <c r="M40" s="16">
        <v>86</v>
      </c>
      <c r="N40" s="4">
        <v>90</v>
      </c>
      <c r="O40" s="4">
        <v>90</v>
      </c>
      <c r="P40" s="4">
        <v>89</v>
      </c>
      <c r="Q40" s="4">
        <v>90</v>
      </c>
      <c r="R40" s="4">
        <v>84</v>
      </c>
      <c r="S40" s="5">
        <f t="shared" si="0"/>
        <v>90.384615384615387</v>
      </c>
      <c r="T40" s="4">
        <v>0</v>
      </c>
      <c r="U40" s="4">
        <v>0</v>
      </c>
      <c r="V40" s="4">
        <v>0</v>
      </c>
      <c r="W40" s="17" t="s">
        <v>538</v>
      </c>
      <c r="X40" s="4" t="s">
        <v>38</v>
      </c>
      <c r="Y40" s="4" t="s">
        <v>43</v>
      </c>
      <c r="Z40" s="4"/>
      <c r="AA40" s="4"/>
      <c r="AB40" s="4"/>
      <c r="AC40" s="4" t="s">
        <v>43</v>
      </c>
      <c r="AD40" s="4"/>
      <c r="AE40" s="4"/>
      <c r="AF40" s="4" t="s">
        <v>43</v>
      </c>
      <c r="AG40" s="4" t="s">
        <v>38</v>
      </c>
      <c r="AH40" s="4"/>
      <c r="AI40" s="11"/>
      <c r="AJ40" s="23" t="s">
        <v>543</v>
      </c>
      <c r="AL40" s="18"/>
    </row>
  </sheetData>
  <mergeCells count="36">
    <mergeCell ref="Y5:Y7"/>
    <mergeCell ref="Z5:Z7"/>
    <mergeCell ref="AH5:AH7"/>
    <mergeCell ref="AI5:AI7"/>
    <mergeCell ref="AB5:AB7"/>
    <mergeCell ref="AC5:AC7"/>
    <mergeCell ref="AD5:AD7"/>
    <mergeCell ref="AE5:AE7"/>
    <mergeCell ref="AF5:AF7"/>
    <mergeCell ref="AG5:AG7"/>
    <mergeCell ref="S4:S7"/>
    <mergeCell ref="R5:R7"/>
    <mergeCell ref="M5:M7"/>
    <mergeCell ref="O5:O7"/>
    <mergeCell ref="X5:X7"/>
    <mergeCell ref="G5:G7"/>
    <mergeCell ref="H5:H7"/>
    <mergeCell ref="I5:I7"/>
    <mergeCell ref="J5:J7"/>
    <mergeCell ref="K5:K7"/>
    <mergeCell ref="W4:W7"/>
    <mergeCell ref="AJ4:AJ7"/>
    <mergeCell ref="A4:A7"/>
    <mergeCell ref="B4:B7"/>
    <mergeCell ref="C4:C7"/>
    <mergeCell ref="D4:D7"/>
    <mergeCell ref="E4:R4"/>
    <mergeCell ref="L5:L7"/>
    <mergeCell ref="N5:N7"/>
    <mergeCell ref="P5:P7"/>
    <mergeCell ref="Q5:Q7"/>
    <mergeCell ref="AA5:AA7"/>
    <mergeCell ref="T4:V6"/>
    <mergeCell ref="X4:AI4"/>
    <mergeCell ref="E5:E7"/>
    <mergeCell ref="F5:F7"/>
  </mergeCells>
  <conditionalFormatting sqref="M8:M40">
    <cfRule type="cellIs" dxfId="3" priority="1" operator="greaterThan">
      <formula>100</formula>
    </cfRule>
    <cfRule type="cellIs" dxfId="2" priority="2" operator="lessThan">
      <formula>78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1142-297B-45ED-93A6-824B43082572}">
  <dimension ref="A1:AH41"/>
  <sheetViews>
    <sheetView tabSelected="1" topLeftCell="B1" zoomScale="52" workbookViewId="0">
      <selection activeCell="AM23" sqref="AM23"/>
    </sheetView>
  </sheetViews>
  <sheetFormatPr defaultRowHeight="14.5" x14ac:dyDescent="0.35"/>
  <cols>
    <col min="1" max="1" width="4" customWidth="1"/>
    <col min="2" max="2" width="27.26953125" bestFit="1" customWidth="1"/>
    <col min="3" max="3" width="10.81640625" customWidth="1"/>
    <col min="4" max="4" width="7.08984375" customWidth="1"/>
    <col min="5" max="18" width="5" customWidth="1"/>
    <col min="19" max="19" width="9.26953125" customWidth="1"/>
    <col min="20" max="22" width="5" customWidth="1"/>
    <col min="23" max="23" width="11.453125" customWidth="1"/>
    <col min="24" max="31" width="5" customWidth="1"/>
    <col min="32" max="32" width="13.1796875" customWidth="1"/>
  </cols>
  <sheetData>
    <row r="1" spans="1:34" ht="18.5" x14ac:dyDescent="0.4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4" x14ac:dyDescent="0.35">
      <c r="A2" s="7" t="s">
        <v>1</v>
      </c>
      <c r="B2" s="7"/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4" x14ac:dyDescent="0.35">
      <c r="A3" s="7" t="s">
        <v>3</v>
      </c>
      <c r="B3" s="7"/>
      <c r="C3" s="2" t="s">
        <v>536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4" x14ac:dyDescent="0.35">
      <c r="A4" s="44" t="s">
        <v>4</v>
      </c>
      <c r="B4" s="44" t="s">
        <v>5</v>
      </c>
      <c r="C4" s="44" t="s">
        <v>6</v>
      </c>
      <c r="D4" s="44" t="s">
        <v>7</v>
      </c>
      <c r="E4" s="44" t="s">
        <v>8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5" t="s">
        <v>106</v>
      </c>
      <c r="T4" s="44" t="s">
        <v>9</v>
      </c>
      <c r="U4" s="44"/>
      <c r="V4" s="44"/>
      <c r="W4" s="45" t="s">
        <v>522</v>
      </c>
      <c r="X4" s="44" t="s">
        <v>10</v>
      </c>
      <c r="Y4" s="44"/>
      <c r="Z4" s="44"/>
      <c r="AA4" s="44"/>
      <c r="AB4" s="44"/>
      <c r="AC4" s="44"/>
      <c r="AD4" s="44"/>
      <c r="AE4" s="44"/>
      <c r="AF4" s="25" t="s">
        <v>540</v>
      </c>
    </row>
    <row r="5" spans="1:34" x14ac:dyDescent="0.35">
      <c r="A5" s="44"/>
      <c r="B5" s="44"/>
      <c r="C5" s="44"/>
      <c r="D5" s="44"/>
      <c r="E5" s="44" t="s">
        <v>11</v>
      </c>
      <c r="F5" s="44" t="s">
        <v>107</v>
      </c>
      <c r="G5" s="44" t="s">
        <v>12</v>
      </c>
      <c r="H5" s="44" t="s">
        <v>13</v>
      </c>
      <c r="I5" s="44" t="s">
        <v>14</v>
      </c>
      <c r="J5" s="44" t="s">
        <v>15</v>
      </c>
      <c r="K5" s="44" t="s">
        <v>16</v>
      </c>
      <c r="L5" s="24" t="s">
        <v>523</v>
      </c>
      <c r="M5" s="24" t="s">
        <v>524</v>
      </c>
      <c r="N5" s="24" t="s">
        <v>18</v>
      </c>
      <c r="O5" s="24" t="s">
        <v>528</v>
      </c>
      <c r="P5" s="44" t="s">
        <v>19</v>
      </c>
      <c r="Q5" s="44" t="s">
        <v>387</v>
      </c>
      <c r="R5" s="24" t="s">
        <v>20</v>
      </c>
      <c r="S5" s="43"/>
      <c r="T5" s="44"/>
      <c r="U5" s="44"/>
      <c r="V5" s="44"/>
      <c r="W5" s="43"/>
      <c r="X5" s="44" t="s">
        <v>22</v>
      </c>
      <c r="Y5" s="44" t="s">
        <v>25</v>
      </c>
      <c r="Z5" s="44" t="s">
        <v>26</v>
      </c>
      <c r="AA5" s="44" t="s">
        <v>178</v>
      </c>
      <c r="AB5" s="44" t="s">
        <v>29</v>
      </c>
      <c r="AC5" s="44" t="s">
        <v>30</v>
      </c>
      <c r="AD5" s="44" t="s">
        <v>31</v>
      </c>
      <c r="AE5" s="44" t="s">
        <v>388</v>
      </c>
      <c r="AF5" s="43"/>
    </row>
    <row r="6" spans="1:34" x14ac:dyDescent="0.3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3"/>
      <c r="P6" s="44"/>
      <c r="Q6" s="44"/>
      <c r="R6" s="44"/>
      <c r="S6" s="43"/>
      <c r="T6" s="44"/>
      <c r="U6" s="44"/>
      <c r="V6" s="44"/>
      <c r="W6" s="43"/>
      <c r="X6" s="44"/>
      <c r="Y6" s="44"/>
      <c r="Z6" s="44"/>
      <c r="AA6" s="44"/>
      <c r="AB6" s="44"/>
      <c r="AC6" s="44"/>
      <c r="AD6" s="44"/>
      <c r="AE6" s="44"/>
      <c r="AF6" s="43"/>
    </row>
    <row r="7" spans="1:34" x14ac:dyDescent="0.3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6"/>
      <c r="P7" s="44"/>
      <c r="Q7" s="44"/>
      <c r="R7" s="44"/>
      <c r="S7" s="46"/>
      <c r="T7" s="9" t="s">
        <v>33</v>
      </c>
      <c r="U7" s="9" t="s">
        <v>34</v>
      </c>
      <c r="V7" s="9" t="s">
        <v>35</v>
      </c>
      <c r="W7" s="43"/>
      <c r="X7" s="44"/>
      <c r="Y7" s="44"/>
      <c r="Z7" s="44"/>
      <c r="AA7" s="44"/>
      <c r="AB7" s="44"/>
      <c r="AC7" s="44"/>
      <c r="AD7" s="44"/>
      <c r="AE7" s="44"/>
      <c r="AF7" s="43"/>
    </row>
    <row r="8" spans="1:34" x14ac:dyDescent="0.35">
      <c r="A8" s="4">
        <v>1</v>
      </c>
      <c r="B8" s="4" t="s">
        <v>454</v>
      </c>
      <c r="C8" s="4" t="s">
        <v>455</v>
      </c>
      <c r="D8" s="4">
        <v>4309</v>
      </c>
      <c r="E8" s="4">
        <v>87</v>
      </c>
      <c r="F8" s="4"/>
      <c r="G8" s="4">
        <v>83</v>
      </c>
      <c r="H8" s="4">
        <v>84</v>
      </c>
      <c r="I8" s="4">
        <v>74</v>
      </c>
      <c r="J8" s="4">
        <v>79</v>
      </c>
      <c r="K8" s="4">
        <v>85</v>
      </c>
      <c r="L8" s="4">
        <v>78</v>
      </c>
      <c r="M8" s="16">
        <v>88</v>
      </c>
      <c r="N8" s="4">
        <v>85</v>
      </c>
      <c r="O8" s="4">
        <v>77</v>
      </c>
      <c r="P8" s="4">
        <v>80</v>
      </c>
      <c r="Q8" s="4">
        <v>78</v>
      </c>
      <c r="R8" s="4">
        <v>78</v>
      </c>
      <c r="S8" s="5">
        <f t="shared" ref="S8:S41" si="0">AVERAGE(E8:R8)</f>
        <v>81.230769230769226</v>
      </c>
      <c r="T8" s="4">
        <v>0</v>
      </c>
      <c r="U8" s="4">
        <v>0</v>
      </c>
      <c r="V8" s="4">
        <v>7</v>
      </c>
      <c r="W8" s="17" t="s">
        <v>548</v>
      </c>
      <c r="X8" s="4" t="s">
        <v>38</v>
      </c>
      <c r="Y8" s="4"/>
      <c r="Z8" s="4"/>
      <c r="AA8" s="4"/>
      <c r="AB8" s="4"/>
      <c r="AC8" s="4"/>
      <c r="AD8" s="4"/>
      <c r="AE8" s="11"/>
      <c r="AF8" s="19" t="s">
        <v>545</v>
      </c>
      <c r="AH8" s="18"/>
    </row>
    <row r="9" spans="1:34" x14ac:dyDescent="0.35">
      <c r="A9" s="4">
        <v>2</v>
      </c>
      <c r="B9" s="4" t="s">
        <v>456</v>
      </c>
      <c r="C9" s="4" t="s">
        <v>457</v>
      </c>
      <c r="D9" s="4">
        <v>4312</v>
      </c>
      <c r="E9" s="4">
        <v>91</v>
      </c>
      <c r="F9" s="4"/>
      <c r="G9" s="4">
        <v>91</v>
      </c>
      <c r="H9" s="4">
        <v>90</v>
      </c>
      <c r="I9" s="4">
        <v>97</v>
      </c>
      <c r="J9" s="4">
        <v>90</v>
      </c>
      <c r="K9" s="4">
        <v>88</v>
      </c>
      <c r="L9" s="4">
        <v>80</v>
      </c>
      <c r="M9" s="16">
        <v>87</v>
      </c>
      <c r="N9" s="4">
        <v>88</v>
      </c>
      <c r="O9" s="4">
        <v>90</v>
      </c>
      <c r="P9" s="4">
        <v>90</v>
      </c>
      <c r="Q9" s="4">
        <v>86</v>
      </c>
      <c r="R9" s="4">
        <v>80</v>
      </c>
      <c r="S9" s="5">
        <f t="shared" si="0"/>
        <v>88.307692307692307</v>
      </c>
      <c r="T9" s="4">
        <v>0</v>
      </c>
      <c r="U9" s="4">
        <v>0</v>
      </c>
      <c r="V9" s="4">
        <v>0</v>
      </c>
      <c r="W9" s="17" t="s">
        <v>538</v>
      </c>
      <c r="X9" s="4" t="s">
        <v>38</v>
      </c>
      <c r="Y9" s="4"/>
      <c r="Z9" s="4"/>
      <c r="AA9" s="4"/>
      <c r="AB9" s="4"/>
      <c r="AC9" s="4"/>
      <c r="AD9" s="4"/>
      <c r="AE9" s="11"/>
      <c r="AF9" s="19" t="s">
        <v>545</v>
      </c>
      <c r="AH9" s="18"/>
    </row>
    <row r="10" spans="1:34" x14ac:dyDescent="0.35">
      <c r="A10" s="4">
        <v>3</v>
      </c>
      <c r="B10" s="4" t="s">
        <v>458</v>
      </c>
      <c r="C10" s="4" t="s">
        <v>459</v>
      </c>
      <c r="D10" s="4">
        <v>4317</v>
      </c>
      <c r="E10" s="4">
        <v>86</v>
      </c>
      <c r="F10" s="4"/>
      <c r="G10" s="4">
        <v>83</v>
      </c>
      <c r="H10" s="4">
        <v>83</v>
      </c>
      <c r="I10" s="4">
        <v>73</v>
      </c>
      <c r="J10" s="4">
        <v>79</v>
      </c>
      <c r="K10" s="4">
        <v>88</v>
      </c>
      <c r="L10" s="4">
        <v>79</v>
      </c>
      <c r="M10" s="16">
        <v>92</v>
      </c>
      <c r="N10" s="4">
        <v>87</v>
      </c>
      <c r="O10" s="4">
        <v>82</v>
      </c>
      <c r="P10" s="4">
        <v>80</v>
      </c>
      <c r="Q10" s="4">
        <v>78</v>
      </c>
      <c r="R10" s="4">
        <v>80</v>
      </c>
      <c r="S10" s="5">
        <f t="shared" si="0"/>
        <v>82.307692307692307</v>
      </c>
      <c r="T10" s="4">
        <v>2</v>
      </c>
      <c r="U10" s="4">
        <v>0</v>
      </c>
      <c r="V10" s="4">
        <v>0</v>
      </c>
      <c r="W10" s="17" t="s">
        <v>537</v>
      </c>
      <c r="X10" s="4" t="s">
        <v>38</v>
      </c>
      <c r="Y10" s="4"/>
      <c r="Z10" s="4"/>
      <c r="AA10" s="4"/>
      <c r="AB10" s="4"/>
      <c r="AC10" s="4"/>
      <c r="AD10" s="4"/>
      <c r="AE10" s="11"/>
      <c r="AF10" s="19" t="s">
        <v>545</v>
      </c>
      <c r="AH10" s="18"/>
    </row>
    <row r="11" spans="1:34" x14ac:dyDescent="0.35">
      <c r="A11" s="4">
        <v>4</v>
      </c>
      <c r="B11" s="4" t="s">
        <v>460</v>
      </c>
      <c r="C11" s="4" t="s">
        <v>461</v>
      </c>
      <c r="D11" s="4">
        <v>4320</v>
      </c>
      <c r="E11" s="4">
        <v>80</v>
      </c>
      <c r="F11" s="4"/>
      <c r="G11" s="4">
        <v>80</v>
      </c>
      <c r="H11" s="4">
        <v>10</v>
      </c>
      <c r="I11" s="4">
        <v>74</v>
      </c>
      <c r="J11" s="4">
        <v>79</v>
      </c>
      <c r="K11" s="4">
        <v>87</v>
      </c>
      <c r="L11" s="4">
        <v>78</v>
      </c>
      <c r="M11" s="16">
        <v>88</v>
      </c>
      <c r="N11" s="4">
        <v>80</v>
      </c>
      <c r="O11" s="4">
        <v>79</v>
      </c>
      <c r="P11" s="4">
        <v>78</v>
      </c>
      <c r="Q11" s="4">
        <v>78</v>
      </c>
      <c r="R11" s="4">
        <v>78</v>
      </c>
      <c r="S11" s="5">
        <f t="shared" si="0"/>
        <v>74.538461538461533</v>
      </c>
      <c r="T11" s="4">
        <v>0</v>
      </c>
      <c r="U11" s="4">
        <v>0</v>
      </c>
      <c r="V11" s="4">
        <v>11</v>
      </c>
      <c r="W11" s="17" t="s">
        <v>548</v>
      </c>
      <c r="X11" s="4" t="s">
        <v>38</v>
      </c>
      <c r="Y11" s="4"/>
      <c r="Z11" s="4"/>
      <c r="AA11" s="4"/>
      <c r="AB11" s="4"/>
      <c r="AC11" s="4"/>
      <c r="AD11" s="4"/>
      <c r="AE11" s="11"/>
      <c r="AF11" s="19" t="s">
        <v>545</v>
      </c>
      <c r="AH11" s="18"/>
    </row>
    <row r="12" spans="1:34" x14ac:dyDescent="0.35">
      <c r="A12" s="4">
        <v>5</v>
      </c>
      <c r="B12" s="4" t="s">
        <v>462</v>
      </c>
      <c r="C12" s="4" t="s">
        <v>463</v>
      </c>
      <c r="D12" s="4">
        <v>4341</v>
      </c>
      <c r="E12" s="4">
        <v>89</v>
      </c>
      <c r="F12" s="4"/>
      <c r="G12" s="4">
        <v>88</v>
      </c>
      <c r="H12" s="4">
        <v>88</v>
      </c>
      <c r="I12" s="4">
        <v>77</v>
      </c>
      <c r="J12" s="4">
        <v>81</v>
      </c>
      <c r="K12" s="4">
        <v>88</v>
      </c>
      <c r="L12" s="4">
        <v>78</v>
      </c>
      <c r="M12" s="16">
        <v>84</v>
      </c>
      <c r="N12" s="4">
        <v>86</v>
      </c>
      <c r="O12" s="4">
        <v>80</v>
      </c>
      <c r="P12" s="4">
        <v>80</v>
      </c>
      <c r="Q12" s="4">
        <v>79</v>
      </c>
      <c r="R12" s="4">
        <v>80</v>
      </c>
      <c r="S12" s="5">
        <f t="shared" si="0"/>
        <v>82.92307692307692</v>
      </c>
      <c r="T12" s="4">
        <v>0</v>
      </c>
      <c r="U12" s="4">
        <v>0</v>
      </c>
      <c r="V12" s="4">
        <v>3</v>
      </c>
      <c r="W12" s="17" t="s">
        <v>537</v>
      </c>
      <c r="X12" s="4" t="s">
        <v>38</v>
      </c>
      <c r="Y12" s="4"/>
      <c r="Z12" s="4"/>
      <c r="AA12" s="4"/>
      <c r="AB12" s="4"/>
      <c r="AC12" s="4"/>
      <c r="AD12" s="4"/>
      <c r="AE12" s="11"/>
      <c r="AF12" s="19" t="s">
        <v>545</v>
      </c>
      <c r="AH12" s="18"/>
    </row>
    <row r="13" spans="1:34" x14ac:dyDescent="0.35">
      <c r="A13" s="4">
        <v>6</v>
      </c>
      <c r="B13" s="4" t="s">
        <v>464</v>
      </c>
      <c r="C13" s="4" t="s">
        <v>465</v>
      </c>
      <c r="D13" s="4">
        <v>4348</v>
      </c>
      <c r="E13" s="4">
        <v>88</v>
      </c>
      <c r="F13" s="4"/>
      <c r="G13" s="4">
        <v>89</v>
      </c>
      <c r="H13" s="4">
        <v>85</v>
      </c>
      <c r="I13" s="4">
        <v>78</v>
      </c>
      <c r="J13" s="4">
        <v>83</v>
      </c>
      <c r="K13" s="4">
        <v>88</v>
      </c>
      <c r="L13" s="4">
        <v>78</v>
      </c>
      <c r="M13" s="16">
        <v>88</v>
      </c>
      <c r="N13" s="4">
        <v>86</v>
      </c>
      <c r="O13" s="4">
        <v>82</v>
      </c>
      <c r="P13" s="4">
        <v>85</v>
      </c>
      <c r="Q13" s="4">
        <v>79</v>
      </c>
      <c r="R13" s="4">
        <v>85</v>
      </c>
      <c r="S13" s="5">
        <f t="shared" si="0"/>
        <v>84.15384615384616</v>
      </c>
      <c r="T13" s="4">
        <v>0</v>
      </c>
      <c r="U13" s="4">
        <v>0</v>
      </c>
      <c r="V13" s="4">
        <v>3</v>
      </c>
      <c r="W13" s="17" t="s">
        <v>537</v>
      </c>
      <c r="X13" s="4" t="s">
        <v>38</v>
      </c>
      <c r="Y13" s="4"/>
      <c r="Z13" s="4"/>
      <c r="AA13" s="4"/>
      <c r="AB13" s="4"/>
      <c r="AC13" s="4"/>
      <c r="AD13" s="4"/>
      <c r="AE13" s="11"/>
      <c r="AF13" s="19" t="s">
        <v>545</v>
      </c>
      <c r="AH13" s="18"/>
    </row>
    <row r="14" spans="1:34" x14ac:dyDescent="0.35">
      <c r="A14" s="4">
        <v>7</v>
      </c>
      <c r="B14" s="4" t="s">
        <v>466</v>
      </c>
      <c r="C14" s="4" t="s">
        <v>467</v>
      </c>
      <c r="D14" s="4">
        <v>4901</v>
      </c>
      <c r="E14" s="4">
        <v>89</v>
      </c>
      <c r="F14" s="4"/>
      <c r="G14" s="4">
        <v>90</v>
      </c>
      <c r="H14" s="4">
        <v>82</v>
      </c>
      <c r="I14" s="4">
        <v>83</v>
      </c>
      <c r="J14" s="4">
        <v>82</v>
      </c>
      <c r="K14" s="4">
        <v>85</v>
      </c>
      <c r="L14" s="4">
        <v>80</v>
      </c>
      <c r="M14" s="16">
        <v>85</v>
      </c>
      <c r="N14" s="4">
        <v>88</v>
      </c>
      <c r="O14" s="4">
        <v>80</v>
      </c>
      <c r="P14" s="4">
        <v>89</v>
      </c>
      <c r="Q14" s="4">
        <v>81</v>
      </c>
      <c r="R14" s="4">
        <v>85</v>
      </c>
      <c r="S14" s="5">
        <f t="shared" si="0"/>
        <v>84.538461538461533</v>
      </c>
      <c r="T14" s="4">
        <v>2</v>
      </c>
      <c r="U14" s="4">
        <v>0</v>
      </c>
      <c r="V14" s="4">
        <v>0</v>
      </c>
      <c r="W14" s="17" t="s">
        <v>537</v>
      </c>
      <c r="X14" s="4"/>
      <c r="Y14" s="4"/>
      <c r="Z14" s="4"/>
      <c r="AA14" s="4"/>
      <c r="AB14" s="4"/>
      <c r="AC14" s="4"/>
      <c r="AD14" s="4"/>
      <c r="AE14" s="11"/>
      <c r="AF14" s="19" t="s">
        <v>545</v>
      </c>
      <c r="AH14" s="18"/>
    </row>
    <row r="15" spans="1:34" x14ac:dyDescent="0.35">
      <c r="A15" s="4">
        <v>8</v>
      </c>
      <c r="B15" s="4" t="s">
        <v>468</v>
      </c>
      <c r="C15" s="4" t="s">
        <v>469</v>
      </c>
      <c r="D15" s="4">
        <v>4371</v>
      </c>
      <c r="E15" s="4">
        <v>90</v>
      </c>
      <c r="F15" s="4"/>
      <c r="G15" s="4">
        <v>90</v>
      </c>
      <c r="H15" s="4">
        <v>87</v>
      </c>
      <c r="I15" s="4">
        <v>76</v>
      </c>
      <c r="J15" s="4">
        <v>83</v>
      </c>
      <c r="K15" s="4">
        <v>86</v>
      </c>
      <c r="L15" s="4">
        <v>80</v>
      </c>
      <c r="M15" s="16">
        <v>95</v>
      </c>
      <c r="N15" s="4">
        <v>87</v>
      </c>
      <c r="O15" s="4">
        <v>82</v>
      </c>
      <c r="P15" s="4">
        <v>85</v>
      </c>
      <c r="Q15" s="4">
        <v>80</v>
      </c>
      <c r="R15" s="4">
        <v>85</v>
      </c>
      <c r="S15" s="5">
        <f t="shared" si="0"/>
        <v>85.07692307692308</v>
      </c>
      <c r="T15" s="4">
        <v>0</v>
      </c>
      <c r="U15" s="4">
        <v>0</v>
      </c>
      <c r="V15" s="4">
        <v>1</v>
      </c>
      <c r="W15" s="17" t="s">
        <v>537</v>
      </c>
      <c r="X15" s="4" t="s">
        <v>38</v>
      </c>
      <c r="Y15" s="4"/>
      <c r="Z15" s="4"/>
      <c r="AA15" s="4"/>
      <c r="AB15" s="4"/>
      <c r="AC15" s="4"/>
      <c r="AD15" s="4"/>
      <c r="AE15" s="11"/>
      <c r="AF15" s="19" t="s">
        <v>545</v>
      </c>
      <c r="AH15" s="18"/>
    </row>
    <row r="16" spans="1:34" x14ac:dyDescent="0.35">
      <c r="A16" s="4">
        <v>9</v>
      </c>
      <c r="B16" s="4" t="s">
        <v>470</v>
      </c>
      <c r="C16" s="4" t="s">
        <v>471</v>
      </c>
      <c r="D16" s="4">
        <v>4906</v>
      </c>
      <c r="E16" s="4">
        <v>89</v>
      </c>
      <c r="F16" s="4"/>
      <c r="G16" s="4">
        <v>86</v>
      </c>
      <c r="H16" s="4">
        <v>85</v>
      </c>
      <c r="I16" s="4">
        <v>97</v>
      </c>
      <c r="J16" s="4">
        <v>88</v>
      </c>
      <c r="K16" s="4">
        <v>87</v>
      </c>
      <c r="L16" s="4">
        <v>90</v>
      </c>
      <c r="M16" s="16">
        <v>89</v>
      </c>
      <c r="N16" s="4">
        <v>85</v>
      </c>
      <c r="O16" s="4">
        <v>80</v>
      </c>
      <c r="P16" s="4">
        <v>89</v>
      </c>
      <c r="Q16" s="4">
        <v>85</v>
      </c>
      <c r="R16" s="4">
        <v>85</v>
      </c>
      <c r="S16" s="5">
        <f t="shared" si="0"/>
        <v>87.307692307692307</v>
      </c>
      <c r="T16" s="4">
        <v>2</v>
      </c>
      <c r="U16" s="4">
        <v>0</v>
      </c>
      <c r="V16" s="4">
        <v>0</v>
      </c>
      <c r="W16" s="17" t="s">
        <v>537</v>
      </c>
      <c r="X16" s="4"/>
      <c r="Y16" s="4"/>
      <c r="Z16" s="4"/>
      <c r="AA16" s="4"/>
      <c r="AB16" s="4"/>
      <c r="AC16" s="4"/>
      <c r="AD16" s="4"/>
      <c r="AE16" s="11"/>
      <c r="AF16" s="19" t="s">
        <v>545</v>
      </c>
      <c r="AH16" s="18"/>
    </row>
    <row r="17" spans="1:34" x14ac:dyDescent="0.35">
      <c r="A17" s="4">
        <v>10</v>
      </c>
      <c r="B17" s="4" t="s">
        <v>472</v>
      </c>
      <c r="C17" s="4" t="s">
        <v>473</v>
      </c>
      <c r="D17" s="4">
        <v>4382</v>
      </c>
      <c r="E17" s="4">
        <v>91</v>
      </c>
      <c r="F17" s="4"/>
      <c r="G17" s="4">
        <v>91</v>
      </c>
      <c r="H17" s="4">
        <v>92</v>
      </c>
      <c r="I17" s="4">
        <v>97</v>
      </c>
      <c r="J17" s="4">
        <v>91</v>
      </c>
      <c r="K17" s="4">
        <v>86</v>
      </c>
      <c r="L17" s="4">
        <v>95</v>
      </c>
      <c r="M17" s="16">
        <v>86</v>
      </c>
      <c r="N17" s="4">
        <v>90</v>
      </c>
      <c r="O17" s="4">
        <v>90</v>
      </c>
      <c r="P17" s="4">
        <v>90</v>
      </c>
      <c r="Q17" s="4">
        <v>88</v>
      </c>
      <c r="R17" s="4">
        <v>90</v>
      </c>
      <c r="S17" s="5">
        <f t="shared" si="0"/>
        <v>90.538461538461533</v>
      </c>
      <c r="T17" s="4">
        <v>1</v>
      </c>
      <c r="U17" s="4">
        <v>0</v>
      </c>
      <c r="V17" s="4">
        <v>0</v>
      </c>
      <c r="W17" s="17" t="s">
        <v>538</v>
      </c>
      <c r="X17" s="4" t="s">
        <v>38</v>
      </c>
      <c r="Y17" s="4" t="s">
        <v>43</v>
      </c>
      <c r="Z17" s="4"/>
      <c r="AA17" s="4"/>
      <c r="AB17" s="4" t="s">
        <v>43</v>
      </c>
      <c r="AC17" s="4" t="s">
        <v>43</v>
      </c>
      <c r="AD17" s="4" t="s">
        <v>38</v>
      </c>
      <c r="AE17" s="11" t="s">
        <v>38</v>
      </c>
      <c r="AF17" s="19" t="s">
        <v>542</v>
      </c>
      <c r="AH17" s="18"/>
    </row>
    <row r="18" spans="1:34" x14ac:dyDescent="0.35">
      <c r="A18" s="4">
        <v>11</v>
      </c>
      <c r="B18" s="4" t="s">
        <v>474</v>
      </c>
      <c r="C18" s="4" t="s">
        <v>475</v>
      </c>
      <c r="D18" s="4">
        <v>4400</v>
      </c>
      <c r="E18" s="4">
        <v>86</v>
      </c>
      <c r="F18" s="4"/>
      <c r="G18" s="4">
        <v>83</v>
      </c>
      <c r="H18" s="4">
        <v>85</v>
      </c>
      <c r="I18" s="4">
        <v>84</v>
      </c>
      <c r="J18" s="4">
        <v>80</v>
      </c>
      <c r="K18" s="4">
        <v>88</v>
      </c>
      <c r="L18" s="4">
        <v>78</v>
      </c>
      <c r="M18" s="16">
        <v>87</v>
      </c>
      <c r="N18" s="4">
        <v>86</v>
      </c>
      <c r="O18" s="4">
        <v>81</v>
      </c>
      <c r="P18" s="4">
        <v>80</v>
      </c>
      <c r="Q18" s="4">
        <v>79</v>
      </c>
      <c r="R18" s="4">
        <v>78</v>
      </c>
      <c r="S18" s="5">
        <f t="shared" si="0"/>
        <v>82.692307692307693</v>
      </c>
      <c r="T18" s="4">
        <v>1</v>
      </c>
      <c r="U18" s="4">
        <v>0</v>
      </c>
      <c r="V18" s="4">
        <v>4</v>
      </c>
      <c r="W18" s="17" t="s">
        <v>537</v>
      </c>
      <c r="X18" s="4" t="s">
        <v>38</v>
      </c>
      <c r="Y18" s="4"/>
      <c r="Z18" s="4"/>
      <c r="AA18" s="4"/>
      <c r="AB18" s="4"/>
      <c r="AC18" s="4"/>
      <c r="AD18" s="4"/>
      <c r="AE18" s="11"/>
      <c r="AF18" s="19" t="s">
        <v>545</v>
      </c>
      <c r="AH18" s="18"/>
    </row>
    <row r="19" spans="1:34" x14ac:dyDescent="0.35">
      <c r="A19" s="4">
        <v>12</v>
      </c>
      <c r="B19" s="4" t="s">
        <v>476</v>
      </c>
      <c r="C19" s="4" t="s">
        <v>477</v>
      </c>
      <c r="D19" s="4">
        <v>4405</v>
      </c>
      <c r="E19" s="4">
        <v>85</v>
      </c>
      <c r="F19" s="4"/>
      <c r="G19" s="4">
        <v>85</v>
      </c>
      <c r="H19" s="4">
        <v>85</v>
      </c>
      <c r="I19" s="4">
        <v>79</v>
      </c>
      <c r="J19" s="4">
        <v>80</v>
      </c>
      <c r="K19" s="4">
        <v>88</v>
      </c>
      <c r="L19" s="4">
        <v>78</v>
      </c>
      <c r="M19" s="16">
        <v>91</v>
      </c>
      <c r="N19" s="4">
        <v>86</v>
      </c>
      <c r="O19" s="4">
        <v>81</v>
      </c>
      <c r="P19" s="4">
        <v>80</v>
      </c>
      <c r="Q19" s="4">
        <v>78</v>
      </c>
      <c r="R19" s="4">
        <v>83</v>
      </c>
      <c r="S19" s="5">
        <f t="shared" si="0"/>
        <v>83</v>
      </c>
      <c r="T19" s="4">
        <v>0</v>
      </c>
      <c r="U19" s="4">
        <v>5</v>
      </c>
      <c r="V19" s="4">
        <v>7</v>
      </c>
      <c r="W19" s="17" t="s">
        <v>548</v>
      </c>
      <c r="X19" s="4" t="s">
        <v>38</v>
      </c>
      <c r="Y19" s="4"/>
      <c r="Z19" s="4"/>
      <c r="AA19" s="4"/>
      <c r="AB19" s="4"/>
      <c r="AC19" s="4"/>
      <c r="AD19" s="4"/>
      <c r="AE19" s="11"/>
      <c r="AF19" s="19" t="s">
        <v>545</v>
      </c>
      <c r="AH19" s="18"/>
    </row>
    <row r="20" spans="1:34" x14ac:dyDescent="0.35">
      <c r="A20" s="4">
        <v>13</v>
      </c>
      <c r="B20" s="4" t="s">
        <v>478</v>
      </c>
      <c r="C20" s="4" t="s">
        <v>479</v>
      </c>
      <c r="D20" s="4">
        <v>4410</v>
      </c>
      <c r="E20" s="4">
        <v>92</v>
      </c>
      <c r="F20" s="4"/>
      <c r="G20" s="4">
        <v>91</v>
      </c>
      <c r="H20" s="4">
        <v>92</v>
      </c>
      <c r="I20" s="4">
        <v>98</v>
      </c>
      <c r="J20" s="4">
        <v>91</v>
      </c>
      <c r="K20" s="4">
        <v>88</v>
      </c>
      <c r="L20" s="4">
        <v>90</v>
      </c>
      <c r="M20" s="16">
        <v>87</v>
      </c>
      <c r="N20" s="4">
        <v>90</v>
      </c>
      <c r="O20" s="4">
        <v>90</v>
      </c>
      <c r="P20" s="4">
        <v>89</v>
      </c>
      <c r="Q20" s="4">
        <v>87</v>
      </c>
      <c r="R20" s="4">
        <v>90</v>
      </c>
      <c r="S20" s="5">
        <f t="shared" si="0"/>
        <v>90.384615384615387</v>
      </c>
      <c r="T20" s="4">
        <v>1</v>
      </c>
      <c r="U20" s="4">
        <v>0</v>
      </c>
      <c r="V20" s="4">
        <v>0</v>
      </c>
      <c r="W20" s="17" t="s">
        <v>538</v>
      </c>
      <c r="X20" s="4" t="s">
        <v>38</v>
      </c>
      <c r="Y20" s="4"/>
      <c r="Z20" s="4"/>
      <c r="AA20" s="4"/>
      <c r="AB20" s="4"/>
      <c r="AC20" s="4" t="s">
        <v>43</v>
      </c>
      <c r="AD20" s="4"/>
      <c r="AE20" s="11"/>
      <c r="AF20" s="19" t="s">
        <v>543</v>
      </c>
      <c r="AH20" s="18"/>
    </row>
    <row r="21" spans="1:34" x14ac:dyDescent="0.35">
      <c r="A21" s="4">
        <v>14</v>
      </c>
      <c r="B21" s="4" t="s">
        <v>480</v>
      </c>
      <c r="C21" s="4" t="s">
        <v>481</v>
      </c>
      <c r="D21" s="4">
        <v>4412</v>
      </c>
      <c r="E21" s="4">
        <v>85</v>
      </c>
      <c r="F21" s="4"/>
      <c r="G21" s="4">
        <v>88</v>
      </c>
      <c r="H21" s="4">
        <v>87</v>
      </c>
      <c r="I21" s="4">
        <v>82</v>
      </c>
      <c r="J21" s="4">
        <v>81</v>
      </c>
      <c r="K21" s="4">
        <v>88</v>
      </c>
      <c r="L21" s="4">
        <v>80</v>
      </c>
      <c r="M21" s="16">
        <v>87</v>
      </c>
      <c r="N21" s="4">
        <v>86</v>
      </c>
      <c r="O21" s="4">
        <v>80</v>
      </c>
      <c r="P21" s="4">
        <v>83</v>
      </c>
      <c r="Q21" s="4">
        <v>79</v>
      </c>
      <c r="R21" s="4">
        <v>88</v>
      </c>
      <c r="S21" s="5">
        <f t="shared" si="0"/>
        <v>84.15384615384616</v>
      </c>
      <c r="T21" s="4">
        <v>0</v>
      </c>
      <c r="U21" s="4">
        <v>0</v>
      </c>
      <c r="V21" s="4">
        <v>1</v>
      </c>
      <c r="W21" s="17" t="s">
        <v>537</v>
      </c>
      <c r="X21" s="4" t="s">
        <v>38</v>
      </c>
      <c r="Y21" s="4"/>
      <c r="Z21" s="4"/>
      <c r="AA21" s="4"/>
      <c r="AB21" s="4"/>
      <c r="AC21" s="4"/>
      <c r="AD21" s="4"/>
      <c r="AE21" s="11"/>
      <c r="AF21" s="19" t="s">
        <v>545</v>
      </c>
      <c r="AH21" s="18"/>
    </row>
    <row r="22" spans="1:34" x14ac:dyDescent="0.35">
      <c r="A22" s="4">
        <v>15</v>
      </c>
      <c r="B22" s="4" t="s">
        <v>482</v>
      </c>
      <c r="C22" s="4" t="s">
        <v>483</v>
      </c>
      <c r="D22" s="4">
        <v>4413</v>
      </c>
      <c r="E22" s="4">
        <v>83</v>
      </c>
      <c r="F22" s="4"/>
      <c r="G22" s="4">
        <v>83</v>
      </c>
      <c r="H22" s="4">
        <v>85</v>
      </c>
      <c r="I22" s="4">
        <v>72</v>
      </c>
      <c r="J22" s="4">
        <v>81</v>
      </c>
      <c r="K22" s="4">
        <v>86</v>
      </c>
      <c r="L22" s="4">
        <v>78</v>
      </c>
      <c r="M22" s="16">
        <v>87</v>
      </c>
      <c r="N22" s="4">
        <v>84</v>
      </c>
      <c r="O22" s="4">
        <v>79</v>
      </c>
      <c r="P22" s="4">
        <v>80</v>
      </c>
      <c r="Q22" s="4">
        <v>79</v>
      </c>
      <c r="R22" s="4">
        <v>78</v>
      </c>
      <c r="S22" s="5">
        <f t="shared" si="0"/>
        <v>81.15384615384616</v>
      </c>
      <c r="T22" s="4">
        <v>1</v>
      </c>
      <c r="U22" s="4">
        <v>0</v>
      </c>
      <c r="V22" s="4">
        <v>7</v>
      </c>
      <c r="W22" s="17" t="s">
        <v>537</v>
      </c>
      <c r="X22" s="4" t="s">
        <v>38</v>
      </c>
      <c r="Y22" s="4"/>
      <c r="Z22" s="4"/>
      <c r="AA22" s="4"/>
      <c r="AB22" s="4"/>
      <c r="AC22" s="4"/>
      <c r="AD22" s="4"/>
      <c r="AE22" s="11"/>
      <c r="AF22" s="19" t="s">
        <v>545</v>
      </c>
      <c r="AH22" s="18"/>
    </row>
    <row r="23" spans="1:34" x14ac:dyDescent="0.35">
      <c r="A23" s="4">
        <v>16</v>
      </c>
      <c r="B23" s="4" t="s">
        <v>484</v>
      </c>
      <c r="C23" s="4" t="s">
        <v>485</v>
      </c>
      <c r="D23" s="4">
        <v>4420</v>
      </c>
      <c r="E23" s="4">
        <v>82</v>
      </c>
      <c r="F23" s="4"/>
      <c r="G23" s="4">
        <v>82</v>
      </c>
      <c r="H23" s="4">
        <v>84</v>
      </c>
      <c r="I23" s="4">
        <v>74</v>
      </c>
      <c r="J23" s="4">
        <v>79</v>
      </c>
      <c r="K23" s="4">
        <v>86</v>
      </c>
      <c r="L23" s="4">
        <v>78</v>
      </c>
      <c r="M23" s="16">
        <v>88</v>
      </c>
      <c r="N23" s="4">
        <v>85</v>
      </c>
      <c r="O23" s="4">
        <v>80</v>
      </c>
      <c r="P23" s="4">
        <v>80</v>
      </c>
      <c r="Q23" s="4">
        <v>79</v>
      </c>
      <c r="R23" s="4">
        <v>78</v>
      </c>
      <c r="S23" s="5">
        <f t="shared" si="0"/>
        <v>81.15384615384616</v>
      </c>
      <c r="T23" s="4">
        <v>0</v>
      </c>
      <c r="U23" s="4">
        <v>0</v>
      </c>
      <c r="V23" s="4">
        <v>10</v>
      </c>
      <c r="W23" s="17" t="s">
        <v>548</v>
      </c>
      <c r="X23" s="4" t="s">
        <v>38</v>
      </c>
      <c r="Y23" s="4"/>
      <c r="Z23" s="4"/>
      <c r="AA23" s="4"/>
      <c r="AB23" s="4"/>
      <c r="AC23" s="4"/>
      <c r="AD23" s="4"/>
      <c r="AE23" s="11"/>
      <c r="AF23" s="19" t="s">
        <v>545</v>
      </c>
      <c r="AH23" s="18"/>
    </row>
    <row r="24" spans="1:34" x14ac:dyDescent="0.35">
      <c r="A24" s="4">
        <v>17</v>
      </c>
      <c r="B24" s="4" t="s">
        <v>486</v>
      </c>
      <c r="C24" s="4" t="s">
        <v>487</v>
      </c>
      <c r="D24" s="4">
        <v>4421</v>
      </c>
      <c r="E24" s="4">
        <v>90</v>
      </c>
      <c r="F24" s="4"/>
      <c r="G24" s="4">
        <v>90</v>
      </c>
      <c r="H24" s="4">
        <v>88</v>
      </c>
      <c r="I24" s="4">
        <v>85</v>
      </c>
      <c r="J24" s="4">
        <v>89</v>
      </c>
      <c r="K24" s="4">
        <v>87</v>
      </c>
      <c r="L24" s="4">
        <v>89</v>
      </c>
      <c r="M24" s="16">
        <v>88</v>
      </c>
      <c r="N24" s="4">
        <v>86</v>
      </c>
      <c r="O24" s="4">
        <v>83</v>
      </c>
      <c r="P24" s="4">
        <v>85</v>
      </c>
      <c r="Q24" s="4">
        <v>80</v>
      </c>
      <c r="R24" s="4">
        <v>88</v>
      </c>
      <c r="S24" s="5">
        <f t="shared" si="0"/>
        <v>86.769230769230774</v>
      </c>
      <c r="T24" s="4">
        <v>0</v>
      </c>
      <c r="U24" s="4">
        <v>0</v>
      </c>
      <c r="V24" s="4">
        <v>0</v>
      </c>
      <c r="W24" s="17" t="s">
        <v>538</v>
      </c>
      <c r="X24" s="4" t="s">
        <v>38</v>
      </c>
      <c r="Y24" s="4"/>
      <c r="Z24" s="4"/>
      <c r="AA24" s="4"/>
      <c r="AB24" s="4"/>
      <c r="AC24" s="4"/>
      <c r="AD24" s="4"/>
      <c r="AE24" s="11"/>
      <c r="AF24" s="19" t="s">
        <v>545</v>
      </c>
      <c r="AH24" s="18"/>
    </row>
    <row r="25" spans="1:34" x14ac:dyDescent="0.35">
      <c r="A25" s="4">
        <v>18</v>
      </c>
      <c r="B25" s="4" t="s">
        <v>488</v>
      </c>
      <c r="C25" s="4" t="s">
        <v>489</v>
      </c>
      <c r="D25" s="4">
        <v>4430</v>
      </c>
      <c r="E25" s="4"/>
      <c r="F25" s="4">
        <v>90</v>
      </c>
      <c r="G25" s="4">
        <v>91</v>
      </c>
      <c r="H25" s="4">
        <v>90</v>
      </c>
      <c r="I25" s="4">
        <v>93</v>
      </c>
      <c r="J25" s="4">
        <v>86</v>
      </c>
      <c r="K25" s="4">
        <v>86</v>
      </c>
      <c r="L25" s="4">
        <v>90</v>
      </c>
      <c r="M25" s="16">
        <v>86</v>
      </c>
      <c r="N25" s="4">
        <v>88</v>
      </c>
      <c r="O25" s="4">
        <v>83</v>
      </c>
      <c r="P25" s="4">
        <v>90</v>
      </c>
      <c r="Q25" s="4">
        <v>85</v>
      </c>
      <c r="R25" s="4">
        <v>85</v>
      </c>
      <c r="S25" s="5">
        <f t="shared" si="0"/>
        <v>87.92307692307692</v>
      </c>
      <c r="T25" s="4">
        <v>0</v>
      </c>
      <c r="U25" s="4">
        <v>1</v>
      </c>
      <c r="V25" s="4">
        <v>0</v>
      </c>
      <c r="W25" s="17" t="s">
        <v>537</v>
      </c>
      <c r="X25" s="4" t="s">
        <v>38</v>
      </c>
      <c r="Y25" s="4"/>
      <c r="Z25" s="4"/>
      <c r="AA25" s="4"/>
      <c r="AB25" s="4"/>
      <c r="AC25" s="4"/>
      <c r="AD25" s="4"/>
      <c r="AE25" s="11"/>
      <c r="AF25" s="19" t="s">
        <v>545</v>
      </c>
      <c r="AH25" s="18"/>
    </row>
    <row r="26" spans="1:34" x14ac:dyDescent="0.35">
      <c r="A26" s="4">
        <v>19</v>
      </c>
      <c r="B26" s="4" t="s">
        <v>490</v>
      </c>
      <c r="C26" s="4" t="s">
        <v>491</v>
      </c>
      <c r="D26" s="4">
        <v>4445</v>
      </c>
      <c r="E26" s="4">
        <v>89</v>
      </c>
      <c r="F26" s="4"/>
      <c r="G26" s="4">
        <v>90</v>
      </c>
      <c r="H26" s="4">
        <v>88</v>
      </c>
      <c r="I26" s="4">
        <v>88</v>
      </c>
      <c r="J26" s="4">
        <v>84</v>
      </c>
      <c r="K26" s="4">
        <v>86</v>
      </c>
      <c r="L26" s="4">
        <v>79</v>
      </c>
      <c r="M26" s="16">
        <v>94</v>
      </c>
      <c r="N26" s="4">
        <v>87</v>
      </c>
      <c r="O26" s="4">
        <v>80</v>
      </c>
      <c r="P26" s="4">
        <v>83</v>
      </c>
      <c r="Q26" s="4">
        <v>82</v>
      </c>
      <c r="R26" s="4">
        <v>88</v>
      </c>
      <c r="S26" s="5">
        <f t="shared" si="0"/>
        <v>86</v>
      </c>
      <c r="T26" s="4">
        <v>0</v>
      </c>
      <c r="U26" s="4">
        <v>0</v>
      </c>
      <c r="V26" s="4">
        <v>3</v>
      </c>
      <c r="W26" s="17" t="s">
        <v>537</v>
      </c>
      <c r="X26" s="4" t="s">
        <v>38</v>
      </c>
      <c r="Y26" s="4"/>
      <c r="Z26" s="4"/>
      <c r="AA26" s="4"/>
      <c r="AB26" s="4"/>
      <c r="AC26" s="4"/>
      <c r="AD26" s="4"/>
      <c r="AE26" s="11"/>
      <c r="AF26" s="19" t="s">
        <v>545</v>
      </c>
      <c r="AH26" s="18"/>
    </row>
    <row r="27" spans="1:34" x14ac:dyDescent="0.35">
      <c r="A27" s="4">
        <v>20</v>
      </c>
      <c r="B27" s="4" t="s">
        <v>492</v>
      </c>
      <c r="C27" s="4" t="s">
        <v>493</v>
      </c>
      <c r="D27" s="4">
        <v>4442</v>
      </c>
      <c r="E27" s="4">
        <v>82</v>
      </c>
      <c r="F27" s="4"/>
      <c r="G27" s="4">
        <v>80</v>
      </c>
      <c r="H27" s="4">
        <v>79</v>
      </c>
      <c r="I27" s="4">
        <v>71</v>
      </c>
      <c r="J27" s="4">
        <v>79</v>
      </c>
      <c r="K27" s="4">
        <v>85</v>
      </c>
      <c r="L27" s="4">
        <v>78</v>
      </c>
      <c r="M27" s="16">
        <v>81</v>
      </c>
      <c r="N27" s="4">
        <v>80</v>
      </c>
      <c r="O27" s="4">
        <v>77</v>
      </c>
      <c r="P27" s="4">
        <v>80</v>
      </c>
      <c r="Q27" s="4">
        <v>79</v>
      </c>
      <c r="R27" s="4">
        <v>78</v>
      </c>
      <c r="S27" s="5">
        <f t="shared" si="0"/>
        <v>79.15384615384616</v>
      </c>
      <c r="T27" s="4">
        <v>1</v>
      </c>
      <c r="U27" s="4">
        <v>0</v>
      </c>
      <c r="V27" s="4">
        <v>9</v>
      </c>
      <c r="W27" s="17" t="s">
        <v>548</v>
      </c>
      <c r="X27" s="4" t="s">
        <v>38</v>
      </c>
      <c r="Y27" s="4"/>
      <c r="Z27" s="4"/>
      <c r="AA27" s="4"/>
      <c r="AB27" s="4"/>
      <c r="AC27" s="4"/>
      <c r="AD27" s="4"/>
      <c r="AE27" s="11"/>
      <c r="AF27" s="19" t="s">
        <v>545</v>
      </c>
      <c r="AH27" s="18"/>
    </row>
    <row r="28" spans="1:34" x14ac:dyDescent="0.35">
      <c r="A28" s="4">
        <v>21</v>
      </c>
      <c r="B28" s="4" t="s">
        <v>494</v>
      </c>
      <c r="C28" s="4" t="s">
        <v>495</v>
      </c>
      <c r="D28" s="4">
        <v>4450</v>
      </c>
      <c r="E28" s="4">
        <v>89</v>
      </c>
      <c r="F28" s="4"/>
      <c r="G28" s="4">
        <v>89</v>
      </c>
      <c r="H28" s="4">
        <v>85</v>
      </c>
      <c r="I28" s="4">
        <v>87</v>
      </c>
      <c r="J28" s="4">
        <v>88</v>
      </c>
      <c r="K28" s="4">
        <v>86</v>
      </c>
      <c r="L28" s="4">
        <v>78</v>
      </c>
      <c r="M28" s="16">
        <v>87</v>
      </c>
      <c r="N28" s="4">
        <v>87</v>
      </c>
      <c r="O28" s="4">
        <v>84</v>
      </c>
      <c r="P28" s="4">
        <v>83</v>
      </c>
      <c r="Q28" s="4">
        <v>80</v>
      </c>
      <c r="R28" s="4">
        <v>90</v>
      </c>
      <c r="S28" s="5">
        <f t="shared" si="0"/>
        <v>85.615384615384613</v>
      </c>
      <c r="T28" s="4">
        <v>1</v>
      </c>
      <c r="U28" s="4">
        <v>0</v>
      </c>
      <c r="V28" s="4">
        <v>4</v>
      </c>
      <c r="W28" s="17" t="s">
        <v>537</v>
      </c>
      <c r="X28" s="4" t="s">
        <v>38</v>
      </c>
      <c r="Y28" s="4"/>
      <c r="Z28" s="4"/>
      <c r="AA28" s="4"/>
      <c r="AB28" s="4"/>
      <c r="AC28" s="4"/>
      <c r="AD28" s="4"/>
      <c r="AE28" s="11"/>
      <c r="AF28" s="19" t="s">
        <v>545</v>
      </c>
      <c r="AH28" s="18"/>
    </row>
    <row r="29" spans="1:34" x14ac:dyDescent="0.35">
      <c r="A29" s="4">
        <v>22</v>
      </c>
      <c r="B29" s="4" t="s">
        <v>496</v>
      </c>
      <c r="C29" s="4" t="s">
        <v>497</v>
      </c>
      <c r="D29" s="4">
        <v>4453</v>
      </c>
      <c r="E29" s="4">
        <v>81</v>
      </c>
      <c r="F29" s="4"/>
      <c r="G29" s="4">
        <v>81</v>
      </c>
      <c r="H29" s="4">
        <v>85</v>
      </c>
      <c r="I29" s="4">
        <v>85</v>
      </c>
      <c r="J29" s="4">
        <v>85</v>
      </c>
      <c r="K29" s="4">
        <v>86</v>
      </c>
      <c r="L29" s="4">
        <v>78</v>
      </c>
      <c r="M29" s="16">
        <v>87</v>
      </c>
      <c r="N29" s="4">
        <v>80</v>
      </c>
      <c r="O29" s="4">
        <v>84</v>
      </c>
      <c r="P29" s="4">
        <v>83</v>
      </c>
      <c r="Q29" s="4">
        <v>80</v>
      </c>
      <c r="R29" s="4">
        <v>85</v>
      </c>
      <c r="S29" s="5">
        <f t="shared" si="0"/>
        <v>83.07692307692308</v>
      </c>
      <c r="T29" s="4">
        <v>4</v>
      </c>
      <c r="U29" s="4">
        <v>0</v>
      </c>
      <c r="V29" s="4">
        <v>9</v>
      </c>
      <c r="W29" s="17" t="s">
        <v>537</v>
      </c>
      <c r="X29" s="4" t="s">
        <v>38</v>
      </c>
      <c r="Y29" s="4"/>
      <c r="Z29" s="4"/>
      <c r="AA29" s="4"/>
      <c r="AB29" s="4"/>
      <c r="AC29" s="4"/>
      <c r="AD29" s="4"/>
      <c r="AE29" s="11"/>
      <c r="AF29" s="19" t="s">
        <v>545</v>
      </c>
      <c r="AH29" s="18"/>
    </row>
    <row r="30" spans="1:34" x14ac:dyDescent="0.35">
      <c r="A30" s="4">
        <v>23</v>
      </c>
      <c r="B30" s="4" t="s">
        <v>498</v>
      </c>
      <c r="C30" s="4" t="s">
        <v>499</v>
      </c>
      <c r="D30" s="4">
        <v>4467</v>
      </c>
      <c r="E30" s="4">
        <v>85</v>
      </c>
      <c r="F30" s="4"/>
      <c r="G30" s="4">
        <v>86</v>
      </c>
      <c r="H30" s="4">
        <v>90</v>
      </c>
      <c r="I30" s="4">
        <v>83</v>
      </c>
      <c r="J30" s="4">
        <v>85</v>
      </c>
      <c r="K30" s="4">
        <v>86</v>
      </c>
      <c r="L30" s="4">
        <v>80</v>
      </c>
      <c r="M30" s="16">
        <v>87</v>
      </c>
      <c r="N30" s="4">
        <v>88</v>
      </c>
      <c r="O30" s="4">
        <v>85</v>
      </c>
      <c r="P30" s="4">
        <v>86</v>
      </c>
      <c r="Q30" s="4">
        <v>81</v>
      </c>
      <c r="R30" s="4">
        <v>88</v>
      </c>
      <c r="S30" s="5">
        <f t="shared" si="0"/>
        <v>85.384615384615387</v>
      </c>
      <c r="T30" s="4">
        <v>0</v>
      </c>
      <c r="U30" s="4">
        <v>0</v>
      </c>
      <c r="V30" s="4">
        <v>0</v>
      </c>
      <c r="W30" s="17" t="s">
        <v>537</v>
      </c>
      <c r="X30" s="4" t="s">
        <v>38</v>
      </c>
      <c r="Y30" s="4"/>
      <c r="Z30" s="4"/>
      <c r="AA30" s="4"/>
      <c r="AB30" s="4"/>
      <c r="AC30" s="4"/>
      <c r="AD30" s="4"/>
      <c r="AE30" s="11"/>
      <c r="AF30" s="19" t="s">
        <v>545</v>
      </c>
      <c r="AH30" s="18"/>
    </row>
    <row r="31" spans="1:34" x14ac:dyDescent="0.35">
      <c r="A31" s="4">
        <v>24</v>
      </c>
      <c r="B31" s="4" t="s">
        <v>500</v>
      </c>
      <c r="C31" s="4" t="s">
        <v>501</v>
      </c>
      <c r="D31" s="4">
        <v>4470</v>
      </c>
      <c r="E31" s="4">
        <v>88</v>
      </c>
      <c r="F31" s="4"/>
      <c r="G31" s="4">
        <v>90</v>
      </c>
      <c r="H31" s="4">
        <v>89</v>
      </c>
      <c r="I31" s="4">
        <v>94</v>
      </c>
      <c r="J31" s="4">
        <v>85</v>
      </c>
      <c r="K31" s="4">
        <v>87</v>
      </c>
      <c r="L31" s="4">
        <v>85</v>
      </c>
      <c r="M31" s="16">
        <v>81</v>
      </c>
      <c r="N31" s="4">
        <v>87</v>
      </c>
      <c r="O31" s="4">
        <v>80</v>
      </c>
      <c r="P31" s="4">
        <v>83</v>
      </c>
      <c r="Q31" s="4">
        <v>83</v>
      </c>
      <c r="R31" s="4">
        <v>82</v>
      </c>
      <c r="S31" s="5">
        <f t="shared" si="0"/>
        <v>85.692307692307693</v>
      </c>
      <c r="T31" s="4">
        <v>0</v>
      </c>
      <c r="U31" s="4">
        <v>0</v>
      </c>
      <c r="V31" s="4">
        <v>0</v>
      </c>
      <c r="W31" s="17" t="s">
        <v>537</v>
      </c>
      <c r="X31" s="4" t="s">
        <v>38</v>
      </c>
      <c r="Y31" s="4"/>
      <c r="Z31" s="4"/>
      <c r="AA31" s="4"/>
      <c r="AB31" s="4"/>
      <c r="AC31" s="4"/>
      <c r="AD31" s="4"/>
      <c r="AE31" s="11"/>
      <c r="AF31" s="19" t="s">
        <v>545</v>
      </c>
      <c r="AH31" s="18"/>
    </row>
    <row r="32" spans="1:34" x14ac:dyDescent="0.35">
      <c r="A32" s="4">
        <v>25</v>
      </c>
      <c r="B32" s="4" t="s">
        <v>502</v>
      </c>
      <c r="C32" s="4" t="s">
        <v>503</v>
      </c>
      <c r="D32" s="4">
        <v>4481</v>
      </c>
      <c r="E32" s="4">
        <v>90</v>
      </c>
      <c r="F32" s="4"/>
      <c r="G32" s="4">
        <v>90</v>
      </c>
      <c r="H32" s="4">
        <v>86</v>
      </c>
      <c r="I32" s="4">
        <v>85</v>
      </c>
      <c r="J32" s="4">
        <v>85</v>
      </c>
      <c r="K32" s="4">
        <v>85</v>
      </c>
      <c r="L32" s="4">
        <v>85</v>
      </c>
      <c r="M32" s="16">
        <v>85</v>
      </c>
      <c r="N32" s="4">
        <v>88</v>
      </c>
      <c r="O32" s="4">
        <v>85</v>
      </c>
      <c r="P32" s="4">
        <v>86</v>
      </c>
      <c r="Q32" s="4">
        <v>81</v>
      </c>
      <c r="R32" s="4">
        <v>80</v>
      </c>
      <c r="S32" s="5">
        <f t="shared" si="0"/>
        <v>85.461538461538467</v>
      </c>
      <c r="T32" s="4">
        <v>0</v>
      </c>
      <c r="U32" s="4">
        <v>0</v>
      </c>
      <c r="V32" s="4">
        <v>2</v>
      </c>
      <c r="W32" s="17" t="s">
        <v>537</v>
      </c>
      <c r="X32" s="4" t="s">
        <v>38</v>
      </c>
      <c r="Y32" s="4"/>
      <c r="Z32" s="4"/>
      <c r="AA32" s="4"/>
      <c r="AB32" s="4"/>
      <c r="AC32" s="4"/>
      <c r="AD32" s="4"/>
      <c r="AE32" s="11"/>
      <c r="AF32" s="19" t="s">
        <v>545</v>
      </c>
      <c r="AH32" s="18"/>
    </row>
    <row r="33" spans="1:34" x14ac:dyDescent="0.35">
      <c r="A33" s="4">
        <v>26</v>
      </c>
      <c r="B33" s="4" t="s">
        <v>504</v>
      </c>
      <c r="C33" s="4" t="s">
        <v>505</v>
      </c>
      <c r="D33" s="4">
        <v>4495</v>
      </c>
      <c r="E33" s="4">
        <v>86</v>
      </c>
      <c r="F33" s="4"/>
      <c r="G33" s="4">
        <v>90</v>
      </c>
      <c r="H33" s="4">
        <v>86</v>
      </c>
      <c r="I33" s="4">
        <v>87</v>
      </c>
      <c r="J33" s="4">
        <v>85</v>
      </c>
      <c r="K33" s="4">
        <v>86</v>
      </c>
      <c r="L33" s="4">
        <v>79</v>
      </c>
      <c r="M33" s="16">
        <v>84</v>
      </c>
      <c r="N33" s="4">
        <v>85</v>
      </c>
      <c r="O33" s="4">
        <v>86</v>
      </c>
      <c r="P33" s="4">
        <v>83</v>
      </c>
      <c r="Q33" s="4">
        <v>80</v>
      </c>
      <c r="R33" s="4">
        <v>88</v>
      </c>
      <c r="S33" s="5">
        <f t="shared" si="0"/>
        <v>85</v>
      </c>
      <c r="T33" s="4">
        <v>0</v>
      </c>
      <c r="U33" s="4">
        <v>0</v>
      </c>
      <c r="V33" s="4">
        <v>3</v>
      </c>
      <c r="W33" s="17" t="s">
        <v>537</v>
      </c>
      <c r="X33" s="4" t="s">
        <v>38</v>
      </c>
      <c r="Y33" s="4"/>
      <c r="Z33" s="4"/>
      <c r="AA33" s="4"/>
      <c r="AB33" s="4"/>
      <c r="AC33" s="4"/>
      <c r="AD33" s="4"/>
      <c r="AE33" s="11"/>
      <c r="AF33" s="19" t="s">
        <v>545</v>
      </c>
      <c r="AH33" s="18"/>
    </row>
    <row r="34" spans="1:34" x14ac:dyDescent="0.35">
      <c r="A34" s="4">
        <v>27</v>
      </c>
      <c r="B34" s="4" t="s">
        <v>506</v>
      </c>
      <c r="C34" s="4" t="s">
        <v>507</v>
      </c>
      <c r="D34" s="4">
        <v>4500</v>
      </c>
      <c r="E34" s="4">
        <v>93</v>
      </c>
      <c r="F34" s="4"/>
      <c r="G34" s="4">
        <v>91</v>
      </c>
      <c r="H34" s="4">
        <v>93</v>
      </c>
      <c r="I34" s="4">
        <v>98</v>
      </c>
      <c r="J34" s="4">
        <v>91</v>
      </c>
      <c r="K34" s="4">
        <v>88</v>
      </c>
      <c r="L34" s="4">
        <v>94</v>
      </c>
      <c r="M34" s="16">
        <v>86</v>
      </c>
      <c r="N34" s="4">
        <v>90</v>
      </c>
      <c r="O34" s="4">
        <v>89</v>
      </c>
      <c r="P34" s="4">
        <v>92</v>
      </c>
      <c r="Q34" s="4">
        <v>86</v>
      </c>
      <c r="R34" s="4">
        <v>90</v>
      </c>
      <c r="S34" s="5">
        <f t="shared" si="0"/>
        <v>90.84615384615384</v>
      </c>
      <c r="T34" s="4">
        <v>1</v>
      </c>
      <c r="U34" s="4">
        <v>0</v>
      </c>
      <c r="V34" s="4">
        <v>0</v>
      </c>
      <c r="W34" s="17" t="s">
        <v>538</v>
      </c>
      <c r="X34" s="4" t="s">
        <v>38</v>
      </c>
      <c r="Y34" s="4" t="s">
        <v>43</v>
      </c>
      <c r="Z34" s="4" t="s">
        <v>43</v>
      </c>
      <c r="AA34" s="4" t="s">
        <v>38</v>
      </c>
      <c r="AB34" s="4"/>
      <c r="AC34" s="4" t="s">
        <v>43</v>
      </c>
      <c r="AD34" s="4"/>
      <c r="AE34" s="11"/>
      <c r="AF34" s="19" t="s">
        <v>542</v>
      </c>
      <c r="AH34" s="18"/>
    </row>
    <row r="35" spans="1:34" x14ac:dyDescent="0.35">
      <c r="A35" s="4">
        <v>28</v>
      </c>
      <c r="B35" s="4" t="s">
        <v>508</v>
      </c>
      <c r="C35" s="4" t="s">
        <v>509</v>
      </c>
      <c r="D35" s="4">
        <v>4505</v>
      </c>
      <c r="E35" s="4">
        <v>10</v>
      </c>
      <c r="F35" s="4"/>
      <c r="G35" s="4">
        <v>10</v>
      </c>
      <c r="H35" s="4">
        <v>10</v>
      </c>
      <c r="I35" s="4">
        <v>70</v>
      </c>
      <c r="J35" s="4">
        <v>10</v>
      </c>
      <c r="K35" s="4">
        <v>88</v>
      </c>
      <c r="L35" s="4">
        <v>10</v>
      </c>
      <c r="M35" s="16">
        <v>87</v>
      </c>
      <c r="N35" s="4">
        <v>30</v>
      </c>
      <c r="O35" s="4">
        <v>77</v>
      </c>
      <c r="P35" s="4"/>
      <c r="Q35" s="4">
        <v>40</v>
      </c>
      <c r="R35" s="4">
        <v>30</v>
      </c>
      <c r="S35" s="5">
        <f t="shared" si="0"/>
        <v>39.333333333333336</v>
      </c>
      <c r="T35" s="4">
        <v>0</v>
      </c>
      <c r="U35" s="4">
        <v>0</v>
      </c>
      <c r="V35" s="4">
        <v>20</v>
      </c>
      <c r="W35" s="17" t="s">
        <v>548</v>
      </c>
      <c r="X35" s="4" t="s">
        <v>38</v>
      </c>
      <c r="Y35" s="4"/>
      <c r="Z35" s="4"/>
      <c r="AA35" s="4"/>
      <c r="AB35" s="4"/>
      <c r="AC35" s="4"/>
      <c r="AD35" s="4"/>
      <c r="AE35" s="11"/>
      <c r="AF35" s="19" t="s">
        <v>545</v>
      </c>
      <c r="AH35" s="18"/>
    </row>
    <row r="36" spans="1:34" x14ac:dyDescent="0.35">
      <c r="A36" s="4">
        <v>29</v>
      </c>
      <c r="B36" s="4" t="s">
        <v>510</v>
      </c>
      <c r="C36" s="4" t="s">
        <v>511</v>
      </c>
      <c r="D36" s="4">
        <v>4518</v>
      </c>
      <c r="E36" s="4">
        <v>89</v>
      </c>
      <c r="F36" s="4"/>
      <c r="G36" s="4">
        <v>92</v>
      </c>
      <c r="H36" s="4">
        <v>92</v>
      </c>
      <c r="I36" s="4">
        <v>98</v>
      </c>
      <c r="J36" s="4">
        <v>92</v>
      </c>
      <c r="K36" s="4">
        <v>86</v>
      </c>
      <c r="L36" s="4">
        <v>90</v>
      </c>
      <c r="M36" s="16">
        <v>89</v>
      </c>
      <c r="N36" s="4">
        <v>87</v>
      </c>
      <c r="O36" s="4">
        <v>86</v>
      </c>
      <c r="P36" s="4">
        <v>90</v>
      </c>
      <c r="Q36" s="4">
        <v>86</v>
      </c>
      <c r="R36" s="4">
        <v>90</v>
      </c>
      <c r="S36" s="5">
        <f t="shared" si="0"/>
        <v>89.769230769230774</v>
      </c>
      <c r="T36" s="4">
        <v>0</v>
      </c>
      <c r="U36" s="4">
        <v>0</v>
      </c>
      <c r="V36" s="4">
        <v>0</v>
      </c>
      <c r="W36" s="17" t="s">
        <v>538</v>
      </c>
      <c r="X36" s="4" t="s">
        <v>38</v>
      </c>
      <c r="Y36" s="4"/>
      <c r="Z36" s="4"/>
      <c r="AA36" s="4"/>
      <c r="AB36" s="4"/>
      <c r="AC36" s="4" t="s">
        <v>43</v>
      </c>
      <c r="AD36" s="4"/>
      <c r="AE36" s="11"/>
      <c r="AF36" s="19" t="s">
        <v>545</v>
      </c>
      <c r="AH36" s="18"/>
    </row>
    <row r="37" spans="1:34" x14ac:dyDescent="0.35">
      <c r="A37" s="4">
        <v>30</v>
      </c>
      <c r="B37" s="4" t="s">
        <v>512</v>
      </c>
      <c r="C37" s="4" t="s">
        <v>513</v>
      </c>
      <c r="D37" s="4">
        <v>4522</v>
      </c>
      <c r="E37" s="4">
        <v>89</v>
      </c>
      <c r="F37" s="4"/>
      <c r="G37" s="4">
        <v>90</v>
      </c>
      <c r="H37" s="4">
        <v>88</v>
      </c>
      <c r="I37" s="4">
        <v>97</v>
      </c>
      <c r="J37" s="4">
        <v>85</v>
      </c>
      <c r="K37" s="4">
        <v>86</v>
      </c>
      <c r="L37" s="4">
        <v>80</v>
      </c>
      <c r="M37" s="16">
        <v>89</v>
      </c>
      <c r="N37" s="4">
        <v>86</v>
      </c>
      <c r="O37" s="4">
        <v>87</v>
      </c>
      <c r="P37" s="4">
        <v>85</v>
      </c>
      <c r="Q37" s="4">
        <v>81</v>
      </c>
      <c r="R37" s="4">
        <v>90</v>
      </c>
      <c r="S37" s="5">
        <f t="shared" si="0"/>
        <v>87.15384615384616</v>
      </c>
      <c r="T37" s="4">
        <v>2</v>
      </c>
      <c r="U37" s="4">
        <v>0</v>
      </c>
      <c r="V37" s="4">
        <v>1</v>
      </c>
      <c r="W37" s="17" t="s">
        <v>537</v>
      </c>
      <c r="X37" s="4" t="s">
        <v>38</v>
      </c>
      <c r="Y37" s="4"/>
      <c r="Z37" s="4"/>
      <c r="AA37" s="4"/>
      <c r="AB37" s="4"/>
      <c r="AC37" s="4"/>
      <c r="AD37" s="4"/>
      <c r="AE37" s="11"/>
      <c r="AF37" s="19" t="s">
        <v>545</v>
      </c>
      <c r="AH37" s="18"/>
    </row>
    <row r="38" spans="1:34" x14ac:dyDescent="0.35">
      <c r="A38" s="4">
        <v>31</v>
      </c>
      <c r="B38" s="4" t="s">
        <v>514</v>
      </c>
      <c r="C38" s="4" t="s">
        <v>515</v>
      </c>
      <c r="D38" s="4">
        <v>4525</v>
      </c>
      <c r="E38" s="4">
        <v>90</v>
      </c>
      <c r="F38" s="4"/>
      <c r="G38" s="4">
        <v>90</v>
      </c>
      <c r="H38" s="4">
        <v>89</v>
      </c>
      <c r="I38" s="4">
        <v>92</v>
      </c>
      <c r="J38" s="4">
        <v>83</v>
      </c>
      <c r="K38" s="4">
        <v>86</v>
      </c>
      <c r="L38" s="4">
        <v>88</v>
      </c>
      <c r="M38" s="16">
        <v>87</v>
      </c>
      <c r="N38" s="4">
        <v>87</v>
      </c>
      <c r="O38" s="4">
        <v>89</v>
      </c>
      <c r="P38" s="4">
        <v>85</v>
      </c>
      <c r="Q38" s="4">
        <v>81</v>
      </c>
      <c r="R38" s="4">
        <v>90</v>
      </c>
      <c r="S38" s="5">
        <f t="shared" si="0"/>
        <v>87.461538461538467</v>
      </c>
      <c r="T38" s="4">
        <v>0</v>
      </c>
      <c r="U38" s="4">
        <v>0</v>
      </c>
      <c r="V38" s="4">
        <v>0</v>
      </c>
      <c r="W38" s="17" t="s">
        <v>538</v>
      </c>
      <c r="X38" s="4" t="s">
        <v>38</v>
      </c>
      <c r="Y38" s="4"/>
      <c r="Z38" s="4"/>
      <c r="AA38" s="4"/>
      <c r="AB38" s="4"/>
      <c r="AC38" s="4"/>
      <c r="AD38" s="4"/>
      <c r="AE38" s="11"/>
      <c r="AF38" s="19" t="s">
        <v>545</v>
      </c>
      <c r="AH38" s="18"/>
    </row>
    <row r="39" spans="1:34" x14ac:dyDescent="0.35">
      <c r="A39" s="4">
        <v>33</v>
      </c>
      <c r="B39" s="4" t="s">
        <v>516</v>
      </c>
      <c r="C39" s="4" t="s">
        <v>517</v>
      </c>
      <c r="D39" s="4">
        <v>4534</v>
      </c>
      <c r="E39" s="4">
        <v>89</v>
      </c>
      <c r="F39" s="4"/>
      <c r="G39" s="4">
        <v>90</v>
      </c>
      <c r="H39" s="4">
        <v>89</v>
      </c>
      <c r="I39" s="4">
        <v>84</v>
      </c>
      <c r="J39" s="4">
        <v>83</v>
      </c>
      <c r="K39" s="4">
        <v>86</v>
      </c>
      <c r="L39" s="4">
        <v>80</v>
      </c>
      <c r="M39" s="16">
        <v>87</v>
      </c>
      <c r="N39" s="4">
        <v>86</v>
      </c>
      <c r="O39" s="4">
        <v>87</v>
      </c>
      <c r="P39" s="4">
        <v>85</v>
      </c>
      <c r="Q39" s="4">
        <v>81</v>
      </c>
      <c r="R39" s="4">
        <v>88</v>
      </c>
      <c r="S39" s="5">
        <f t="shared" si="0"/>
        <v>85.769230769230774</v>
      </c>
      <c r="T39" s="4">
        <v>0</v>
      </c>
      <c r="U39" s="4">
        <v>0</v>
      </c>
      <c r="V39" s="4">
        <v>1</v>
      </c>
      <c r="W39" s="17" t="s">
        <v>537</v>
      </c>
      <c r="X39" s="4" t="s">
        <v>38</v>
      </c>
      <c r="Y39" s="4"/>
      <c r="Z39" s="4"/>
      <c r="AA39" s="4"/>
      <c r="AB39" s="4"/>
      <c r="AC39" s="4"/>
      <c r="AD39" s="4"/>
      <c r="AE39" s="11"/>
      <c r="AF39" s="19" t="s">
        <v>545</v>
      </c>
      <c r="AH39" s="18"/>
    </row>
    <row r="40" spans="1:34" x14ac:dyDescent="0.35">
      <c r="A40" s="4">
        <v>34</v>
      </c>
      <c r="B40" s="4" t="s">
        <v>518</v>
      </c>
      <c r="C40" s="4" t="s">
        <v>519</v>
      </c>
      <c r="D40" s="4">
        <v>4537</v>
      </c>
      <c r="E40" s="4">
        <v>89</v>
      </c>
      <c r="F40" s="4"/>
      <c r="G40" s="4">
        <v>90</v>
      </c>
      <c r="H40" s="4">
        <v>87</v>
      </c>
      <c r="I40" s="4">
        <v>92</v>
      </c>
      <c r="J40" s="4">
        <v>88</v>
      </c>
      <c r="K40" s="4">
        <v>86</v>
      </c>
      <c r="L40" s="4">
        <v>86</v>
      </c>
      <c r="M40" s="16">
        <v>87</v>
      </c>
      <c r="N40" s="4">
        <v>87</v>
      </c>
      <c r="O40" s="4">
        <v>88</v>
      </c>
      <c r="P40" s="4">
        <v>85</v>
      </c>
      <c r="Q40" s="4">
        <v>80</v>
      </c>
      <c r="R40" s="4">
        <v>90</v>
      </c>
      <c r="S40" s="5">
        <f t="shared" si="0"/>
        <v>87.307692307692307</v>
      </c>
      <c r="T40" s="4">
        <v>0</v>
      </c>
      <c r="U40" s="4">
        <v>0</v>
      </c>
      <c r="V40" s="4">
        <v>0</v>
      </c>
      <c r="W40" s="17" t="s">
        <v>537</v>
      </c>
      <c r="X40" s="4" t="s">
        <v>38</v>
      </c>
      <c r="Y40" s="4"/>
      <c r="Z40" s="4"/>
      <c r="AA40" s="4"/>
      <c r="AB40" s="4"/>
      <c r="AC40" s="4"/>
      <c r="AD40" s="4"/>
      <c r="AE40" s="11"/>
      <c r="AF40" s="19" t="s">
        <v>545</v>
      </c>
      <c r="AH40" s="18"/>
    </row>
    <row r="41" spans="1:34" x14ac:dyDescent="0.35">
      <c r="A41" s="4">
        <v>35</v>
      </c>
      <c r="B41" s="4" t="s">
        <v>520</v>
      </c>
      <c r="C41" s="4" t="s">
        <v>521</v>
      </c>
      <c r="D41" s="4">
        <v>4541</v>
      </c>
      <c r="E41" s="4">
        <v>88</v>
      </c>
      <c r="F41" s="4"/>
      <c r="G41" s="4">
        <v>83</v>
      </c>
      <c r="H41" s="4">
        <v>88</v>
      </c>
      <c r="I41" s="4">
        <v>71</v>
      </c>
      <c r="J41" s="4">
        <v>86</v>
      </c>
      <c r="K41" s="4">
        <v>86</v>
      </c>
      <c r="L41" s="4">
        <v>78</v>
      </c>
      <c r="M41" s="16">
        <v>92</v>
      </c>
      <c r="N41" s="4">
        <v>84</v>
      </c>
      <c r="O41" s="4">
        <v>88</v>
      </c>
      <c r="P41" s="4">
        <v>83</v>
      </c>
      <c r="Q41" s="4">
        <v>80</v>
      </c>
      <c r="R41" s="4">
        <v>88</v>
      </c>
      <c r="S41" s="5">
        <f t="shared" si="0"/>
        <v>84.230769230769226</v>
      </c>
      <c r="T41" s="4">
        <v>4</v>
      </c>
      <c r="U41" s="4">
        <v>0</v>
      </c>
      <c r="V41" s="4">
        <v>5</v>
      </c>
      <c r="W41" s="17" t="s">
        <v>537</v>
      </c>
      <c r="X41" s="4" t="s">
        <v>38</v>
      </c>
      <c r="Y41" s="4"/>
      <c r="Z41" s="4"/>
      <c r="AA41" s="4" t="s">
        <v>38</v>
      </c>
      <c r="AB41" s="4"/>
      <c r="AC41" s="4"/>
      <c r="AD41" s="4"/>
      <c r="AE41" s="11"/>
      <c r="AF41" s="19" t="s">
        <v>543</v>
      </c>
      <c r="AH41" s="18"/>
    </row>
  </sheetData>
  <mergeCells count="32">
    <mergeCell ref="I5:I7"/>
    <mergeCell ref="AB5:AB7"/>
    <mergeCell ref="AC5:AC7"/>
    <mergeCell ref="AD5:AD7"/>
    <mergeCell ref="AE5:AE7"/>
    <mergeCell ref="R5:R7"/>
    <mergeCell ref="X5:X7"/>
    <mergeCell ref="Y5:Y7"/>
    <mergeCell ref="Z5:Z7"/>
    <mergeCell ref="AA5:AA7"/>
    <mergeCell ref="T4:V6"/>
    <mergeCell ref="X4:AE4"/>
    <mergeCell ref="S4:S7"/>
    <mergeCell ref="M5:M7"/>
    <mergeCell ref="O5:O7"/>
    <mergeCell ref="W4:W7"/>
    <mergeCell ref="AF4:AF7"/>
    <mergeCell ref="J5:J7"/>
    <mergeCell ref="K5:K7"/>
    <mergeCell ref="A4:A7"/>
    <mergeCell ref="B4:B7"/>
    <mergeCell ref="C4:C7"/>
    <mergeCell ref="D4:D7"/>
    <mergeCell ref="E4:R4"/>
    <mergeCell ref="L5:L7"/>
    <mergeCell ref="N5:N7"/>
    <mergeCell ref="P5:P7"/>
    <mergeCell ref="Q5:Q7"/>
    <mergeCell ref="E5:E7"/>
    <mergeCell ref="F5:F7"/>
    <mergeCell ref="G5:G7"/>
    <mergeCell ref="H5:H7"/>
  </mergeCells>
  <conditionalFormatting sqref="M8:M41">
    <cfRule type="cellIs" dxfId="1" priority="1" operator="greaterThan">
      <formula>100</formula>
    </cfRule>
    <cfRule type="cellIs" dxfId="0" priority="2" operator="lessThan">
      <formula>78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Kelas XI_IPS_1</vt:lpstr>
      <vt:lpstr>Kelas XI_IPS_2</vt:lpstr>
      <vt:lpstr>Kelas XI_IPS_3</vt:lpstr>
      <vt:lpstr>Kelas XI_MIPA_1</vt:lpstr>
      <vt:lpstr>Kelas XI_MIPA_2</vt:lpstr>
      <vt:lpstr>Kelas XI_MIPA_3</vt:lpstr>
      <vt:lpstr>Kelas XI_MIPA_4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 2023</cp:lastModifiedBy>
  <cp:lastPrinted>2025-06-20T06:19:54Z</cp:lastPrinted>
  <dcterms:created xsi:type="dcterms:W3CDTF">2025-06-20T04:14:53Z</dcterms:created>
  <dcterms:modified xsi:type="dcterms:W3CDTF">2026-02-23T16:36:51Z</dcterms:modified>
  <cp:category/>
</cp:coreProperties>
</file>